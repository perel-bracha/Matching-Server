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13_ncr:40009_{6A04C0E1-819C-4811-800E-7736C8E14CFB}" xr6:coauthVersionLast="36" xr6:coauthVersionMax="36" xr10:uidLastSave="{00000000-0000-0000-0000-000000000000}"/>
  <bookViews>
    <workbookView xWindow="0" yWindow="0" windowWidth="28800" windowHeight="12255"/>
  </bookViews>
  <sheets>
    <sheet name="ExportHistory_01.03.25_06.03.25" sheetId="1" r:id="rId1"/>
  </sheets>
  <definedNames>
    <definedName name="_xlnm._FilterDatabase" localSheetId="0" hidden="1">ExportHistory_01.03.25_06.03.25!$A$1:$V$26</definedName>
  </definedNames>
  <calcPr calcId="0"/>
</workbook>
</file>

<file path=xl/calcChain.xml><?xml version="1.0" encoding="utf-8"?>
<calcChain xmlns="http://schemas.openxmlformats.org/spreadsheetml/2006/main">
  <c r="I26" i="1" l="1"/>
  <c r="K26" i="1"/>
  <c r="K25" i="1"/>
  <c r="K24" i="1"/>
  <c r="K23" i="1"/>
  <c r="A21" i="1"/>
  <c r="K21" i="1"/>
  <c r="A20" i="1"/>
  <c r="K20" i="1"/>
  <c r="K19" i="1"/>
  <c r="K18" i="1"/>
  <c r="A17" i="1"/>
  <c r="K17" i="1"/>
  <c r="A16" i="1"/>
  <c r="J16" i="1"/>
  <c r="A15" i="1"/>
  <c r="K15" i="1"/>
  <c r="K14" i="1"/>
  <c r="I13" i="1"/>
  <c r="K12" i="1"/>
  <c r="A10" i="1"/>
  <c r="A9" i="1"/>
  <c r="J9" i="1"/>
  <c r="K9" i="1"/>
  <c r="K8" i="1"/>
  <c r="K7" i="1"/>
  <c r="K6" i="1"/>
  <c r="A5" i="1"/>
  <c r="K5" i="1"/>
  <c r="I4" i="1"/>
  <c r="K4" i="1"/>
  <c r="K3" i="1"/>
  <c r="K2" i="1"/>
</calcChain>
</file>

<file path=xl/sharedStrings.xml><?xml version="1.0" encoding="utf-8"?>
<sst xmlns="http://schemas.openxmlformats.org/spreadsheetml/2006/main" count="229" uniqueCount="132">
  <si>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</si>
  <si>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</si>
  <si>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</si>
  <si>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</si>
  <si>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</si>
  <si>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</si>
  <si>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</si>
  <si>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</si>
  <si>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</si>
  <si>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</si>
  <si>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</si>
  <si>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</si>
  <si>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</si>
  <si>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</si>
  <si>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</si>
  <si>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</si>
  <si>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</si>
  <si>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</si>
  <si>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</si>
  <si>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</si>
  <si>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</si>
  <si>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</si>
  <si>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 xml:space="preserve">Leah goldfarb </t>
  </si>
  <si>
    <t>leahshaindel@gmail.com</t>
  </si>
  <si>
    <t>שקל</t>
  </si>
  <si>
    <t>1 מתוך 2</t>
  </si>
  <si>
    <t>קמפיין הכנסת כלה תשפ"ה</t>
  </si>
  <si>
    <t>ויזה</t>
  </si>
  <si>
    <t>ישראכרט</t>
  </si>
  <si>
    <t>סבן יעקב</t>
  </si>
  <si>
    <t>רשבא 3 תפרח</t>
  </si>
  <si>
    <t>050-4122188</t>
  </si>
  <si>
    <t>נעמי עמר</t>
  </si>
  <si>
    <t>מסטרכרד</t>
  </si>
  <si>
    <t>חנה חורוז'ינסקי</t>
  </si>
  <si>
    <t>רבנו תם אלעד</t>
  </si>
  <si>
    <t>053-3106482</t>
  </si>
  <si>
    <t>chanirozen82@gmail.com</t>
  </si>
  <si>
    <t>נתנאל חביב</t>
  </si>
  <si>
    <t>קליינמן משה, 7 ירושלים</t>
  </si>
  <si>
    <t>052-7665660</t>
  </si>
  <si>
    <t>nethanelabib@gmail.com</t>
  </si>
  <si>
    <t>הו"ק</t>
  </si>
  <si>
    <t>תהילה הלפרין</t>
  </si>
  <si>
    <t>המגיד ממעזריטש 26 ביתר עילית</t>
  </si>
  <si>
    <t>050-4165017</t>
  </si>
  <si>
    <t>tehila5017@gmail.com</t>
  </si>
  <si>
    <t>שרה לוי</t>
  </si>
  <si>
    <t>עידו ושלהבת  כותה</t>
  </si>
  <si>
    <t>תאנה 50, 2 חריש</t>
  </si>
  <si>
    <t>054-7426566</t>
  </si>
  <si>
    <t>shali.deutch@gmail.com</t>
  </si>
  <si>
    <t>תהילה כותה</t>
  </si>
  <si>
    <t xml:space="preserve">דפנה אלישר </t>
  </si>
  <si>
    <t xml:space="preserve">שפיה 4 תל אביב </t>
  </si>
  <si>
    <t>elyashar.d@gmail.com</t>
  </si>
  <si>
    <t>קייבל ליסה</t>
  </si>
  <si>
    <t>הרב קעניג 16/1 ביתר עילית</t>
  </si>
  <si>
    <t>053-4852294</t>
  </si>
  <si>
    <t>shevycable@gmail.com</t>
  </si>
  <si>
    <t>קידר אילנה</t>
  </si>
  <si>
    <t>נחל אלכסנדר 3/2 בית שמש</t>
  </si>
  <si>
    <t>054-8318935</t>
  </si>
  <si>
    <t>kedarmom@gmail.com</t>
  </si>
  <si>
    <t>אמריקן אקספרס</t>
  </si>
  <si>
    <t>תמיר ימיני</t>
  </si>
  <si>
    <t>הרב יצחק ידידיה פרנקל 66, תל אביב תל אביב</t>
  </si>
  <si>
    <t>053-3176589</t>
  </si>
  <si>
    <t>kalech99@gmail.com</t>
  </si>
  <si>
    <t>אלומה שילת</t>
  </si>
  <si>
    <t>סבג אברהם</t>
  </si>
  <si>
    <t>פיקוס 15 א' דירה 4 אופקים</t>
  </si>
  <si>
    <t>052-7625046</t>
  </si>
  <si>
    <t>sabag1559@gmail.com</t>
  </si>
  <si>
    <t>טליה שמרייהו</t>
  </si>
  <si>
    <t xml:space="preserve">פלויט חיה </t>
  </si>
  <si>
    <t>נתיבות המשפט 84/2 מודיעין עילית</t>
  </si>
  <si>
    <t>08-9762583</t>
  </si>
  <si>
    <t>plautyehuda@gmail.com</t>
  </si>
  <si>
    <t>מן. דירה 4. קבלה למייל</t>
  </si>
  <si>
    <t>משובב נתיבות</t>
  </si>
  <si>
    <t>בראודה אתי</t>
  </si>
  <si>
    <t>האלון 46 הר אדר</t>
  </si>
  <si>
    <t>lo.eti88@gmail.com</t>
  </si>
  <si>
    <t>הני כהן</t>
  </si>
  <si>
    <t>יהודה גרינמן</t>
  </si>
  <si>
    <t>נחל רביבים 20/1 בית שמש</t>
  </si>
  <si>
    <t>052-3258534</t>
  </si>
  <si>
    <t>yngreenman@gmail.com</t>
  </si>
  <si>
    <t>ציונה לוי</t>
  </si>
  <si>
    <t>יוסף שאשו</t>
  </si>
  <si>
    <t>joschacho@gmail.com</t>
  </si>
  <si>
    <t xml:space="preserve">עבור רבקי מיתא דירת וילה </t>
  </si>
  <si>
    <t>נעמה מסינג</t>
  </si>
  <si>
    <t>naama424486@gmail.com</t>
  </si>
  <si>
    <t>ציונה לוי דירה 5</t>
  </si>
  <si>
    <t>Debora Michanie</t>
  </si>
  <si>
    <t xml:space="preserve">Panama Panama </t>
  </si>
  <si>
    <t>debomichanie@hotmail.com</t>
  </si>
  <si>
    <t>דבורה זיכר</t>
  </si>
  <si>
    <t xml:space="preserve"> פנמה פנמה</t>
  </si>
  <si>
    <t>058-6471083</t>
  </si>
  <si>
    <t>siher@yahoo.com</t>
  </si>
  <si>
    <t>Rajel Verchik</t>
  </si>
  <si>
    <t>050-0000001</t>
  </si>
  <si>
    <t>rajelverchik@gmail.com</t>
  </si>
  <si>
    <t>בתיה וגנר</t>
  </si>
  <si>
    <t>נחל נחשון, 7 בית שמש</t>
  </si>
  <si>
    <t>050-4167550</t>
  </si>
  <si>
    <t>wagnerbatya8@gmail.com</t>
  </si>
  <si>
    <t>שושנה קרביץ האלופה!!!!</t>
  </si>
  <si>
    <t>הודיה חבה</t>
  </si>
  <si>
    <t>נתיבות המשפט 42 מודיעין עילית</t>
  </si>
  <si>
    <t>053-4191033</t>
  </si>
  <si>
    <t>hodaya.chaba@gmail.com</t>
  </si>
  <si>
    <t>ציפורה ערערא</t>
  </si>
  <si>
    <t>שרה נדל</t>
  </si>
  <si>
    <t>רבן יוחנן בן זכאי 45 בני ברק</t>
  </si>
  <si>
    <t>052-7642041</t>
  </si>
  <si>
    <t>sari7642041@gmail.com</t>
  </si>
  <si>
    <t>דב נוביק</t>
  </si>
  <si>
    <t>אביי 15 דירה 10 בית שמש</t>
  </si>
  <si>
    <t>050-4135521</t>
  </si>
  <si>
    <t>yael202530@gmail.com</t>
  </si>
  <si>
    <t>לנעמי רוט הדודה הכי הכי, מגיע לך את כל העולם!!!!</t>
  </si>
  <si>
    <t>יהודית ונה</t>
  </si>
  <si>
    <t>אביטל רשד</t>
  </si>
  <si>
    <t xml:space="preserve">שרה שמואל </t>
  </si>
  <si>
    <t xml:space="preserve">שאולזון 42 ירושלים </t>
  </si>
  <si>
    <t>052-6881810</t>
  </si>
  <si>
    <t>ssaarraa123@gmail.com</t>
  </si>
  <si>
    <t xml:space="preserve">הדס שמואל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</si>
</sst>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rightToLeft="1" tabSelected="1" workbookViewId="0">
      <selection activeCell="F26" sqref="F26"/>
    </sheetView>
  </sheetViews>
  <sheetFormatPr defaultRowHeight="14.25" x14ac:dyDescent="0.2"/>
  <cols>
    <col min="1" max="1" width="9.875" bestFit="1" customWidth="1"/>
    <col min="2" max="2" width="22.625" bestFit="1" customWidth="1"/>
    <col min="3" max="3" width="57.875" bestFit="1" customWidth="1"/>
    <col min="4" max="4" width="14" bestFit="1" customWidth="1"/>
    <col min="5" max="5" width="29" bestFit="1" customWidth="1"/>
    <col min="6" max="6" width="6.875" bestFit="1" customWidth="1"/>
    <col min="7" max="7" width="5.125" bestFit="1" customWidth="1"/>
    <col min="8" max="8" width="15" bestFit="1" customWidth="1"/>
    <col min="9" max="9" width="9.625" bestFit="1" customWidth="1"/>
    <col min="10" max="10" width="13.5" bestFit="1" customWidth="1"/>
    <col min="11" max="11" width="4.875" bestFit="1" customWidth="1"/>
    <col min="12" max="12" width="8.625" bestFit="1" customWidth="1"/>
    <col min="13" max="13" width="20" bestFit="1" customWidth="1"/>
    <col min="14" max="14" width="77" bestFit="1" customWidth="1"/>
    <col min="15" max="15" width="37" bestFit="1" customWidth="1"/>
    <col min="16" max="16" width="9.375" bestFit="1" customWidth="1"/>
    <col min="17" max="17" width="12.5" bestFit="1" customWidth="1"/>
    <col min="18" max="18" width="10.25" bestFit="1" customWidth="1"/>
    <col min="19" max="19" width="8.75" bestFit="1" customWidth="1"/>
    <col min="20" max="20" width="9.875" bestFit="1" customWidth="1"/>
    <col min="21" max="21" width="9.25" bestFit="1" customWidth="1"/>
    <col min="22" max="22" width="9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302837513</v>
      </c>
      <c r="B2" t="s">
        <v>127</v>
      </c>
      <c r="C2" t="s">
        <v>128</v>
      </c>
      <c r="D2" t="s">
        <v>129</v>
      </c>
      <c r="E2" t="s">
        <v>130</v>
      </c>
      <c r="F2">
        <v>100</v>
      </c>
      <c r="G2" t="s">
        <v>24</v>
      </c>
      <c r="H2" s="1">
        <v>45722</v>
      </c>
      <c r="I2">
        <v>21108</v>
      </c>
      <c r="J2">
        <v>9925</v>
      </c>
      <c r="K2" t="str">
        <f>"0629"</f>
        <v>0629</v>
      </c>
      <c r="L2">
        <v>1</v>
      </c>
      <c r="M2" t="s">
        <v>26</v>
      </c>
      <c r="N2" t="s">
        <v>131</v>
      </c>
      <c r="Q2" t="s">
        <v>27</v>
      </c>
      <c r="R2" t="s">
        <v>28</v>
      </c>
      <c r="T2">
        <v>49152659</v>
      </c>
      <c r="U2">
        <v>86001567</v>
      </c>
      <c r="V2">
        <v>127748</v>
      </c>
    </row>
    <row r="3" spans="1:22" x14ac:dyDescent="0.2">
      <c r="B3" t="s">
        <v>125</v>
      </c>
      <c r="F3">
        <v>150</v>
      </c>
      <c r="G3" t="s">
        <v>24</v>
      </c>
      <c r="H3" s="1">
        <v>45722.001388888886</v>
      </c>
      <c r="I3">
        <v>2926316</v>
      </c>
      <c r="J3">
        <v>7773</v>
      </c>
      <c r="K3" t="str">
        <f>"0730"</f>
        <v>0730</v>
      </c>
      <c r="L3">
        <v>1</v>
      </c>
      <c r="M3" t="s">
        <v>26</v>
      </c>
      <c r="N3" t="s">
        <v>126</v>
      </c>
      <c r="Q3" t="s">
        <v>33</v>
      </c>
      <c r="R3" t="s">
        <v>28</v>
      </c>
      <c r="T3">
        <v>49152698</v>
      </c>
      <c r="U3">
        <v>86001568</v>
      </c>
      <c r="V3">
        <v>127749</v>
      </c>
    </row>
    <row r="4" spans="1:22" x14ac:dyDescent="0.2">
      <c r="A4">
        <v>308376508</v>
      </c>
      <c r="B4" t="s">
        <v>120</v>
      </c>
      <c r="C4" t="s">
        <v>121</v>
      </c>
      <c r="D4" t="s">
        <v>122</v>
      </c>
      <c r="E4" t="s">
        <v>123</v>
      </c>
      <c r="F4">
        <v>50</v>
      </c>
      <c r="G4" t="s">
        <v>24</v>
      </c>
      <c r="H4" s="1">
        <v>45722.003472222219</v>
      </c>
      <c r="I4" t="str">
        <f>"0384453"</f>
        <v>0384453</v>
      </c>
      <c r="J4">
        <v>8729</v>
      </c>
      <c r="K4" t="str">
        <f>"0426"</f>
        <v>0426</v>
      </c>
      <c r="L4">
        <v>1</v>
      </c>
      <c r="M4" t="s">
        <v>26</v>
      </c>
      <c r="N4" t="s">
        <v>124</v>
      </c>
      <c r="Q4" t="s">
        <v>27</v>
      </c>
      <c r="R4" t="s">
        <v>28</v>
      </c>
      <c r="T4">
        <v>49152758</v>
      </c>
      <c r="U4">
        <v>86001569</v>
      </c>
      <c r="V4">
        <v>127750</v>
      </c>
    </row>
    <row r="5" spans="1:22" x14ac:dyDescent="0.2">
      <c r="A5" t="str">
        <f>"025550294"</f>
        <v>025550294</v>
      </c>
      <c r="B5" t="s">
        <v>116</v>
      </c>
      <c r="C5" t="s">
        <v>117</v>
      </c>
      <c r="D5" t="s">
        <v>118</v>
      </c>
      <c r="E5" t="s">
        <v>119</v>
      </c>
      <c r="F5">
        <v>100</v>
      </c>
      <c r="G5" t="s">
        <v>24</v>
      </c>
      <c r="H5" s="1">
        <v>45722.013194444444</v>
      </c>
      <c r="I5">
        <v>2948826</v>
      </c>
      <c r="J5">
        <v>2351</v>
      </c>
      <c r="K5" t="str">
        <f>"0929"</f>
        <v>0929</v>
      </c>
      <c r="L5">
        <v>1</v>
      </c>
      <c r="M5" t="s">
        <v>26</v>
      </c>
      <c r="N5" t="s">
        <v>84</v>
      </c>
      <c r="Q5" t="s">
        <v>33</v>
      </c>
      <c r="R5" t="s">
        <v>28</v>
      </c>
      <c r="T5">
        <v>49153026</v>
      </c>
      <c r="U5">
        <v>86001570</v>
      </c>
      <c r="V5">
        <v>127751</v>
      </c>
    </row>
    <row r="6" spans="1:22" x14ac:dyDescent="0.2">
      <c r="A6">
        <v>328433065</v>
      </c>
      <c r="B6" t="s">
        <v>111</v>
      </c>
      <c r="C6" t="s">
        <v>112</v>
      </c>
      <c r="D6" t="s">
        <v>113</v>
      </c>
      <c r="E6" t="s">
        <v>114</v>
      </c>
      <c r="F6">
        <v>80</v>
      </c>
      <c r="G6" t="s">
        <v>24</v>
      </c>
      <c r="H6" s="1">
        <v>45722.052777777775</v>
      </c>
      <c r="I6">
        <v>3006123</v>
      </c>
      <c r="J6">
        <v>5467</v>
      </c>
      <c r="K6" t="str">
        <f>"0231"</f>
        <v>0231</v>
      </c>
      <c r="L6">
        <v>1</v>
      </c>
      <c r="M6" t="s">
        <v>26</v>
      </c>
      <c r="N6" t="s">
        <v>115</v>
      </c>
      <c r="Q6" t="s">
        <v>27</v>
      </c>
      <c r="R6" t="s">
        <v>28</v>
      </c>
      <c r="T6">
        <v>49157672</v>
      </c>
      <c r="U6">
        <v>86001573</v>
      </c>
      <c r="V6">
        <v>127752</v>
      </c>
    </row>
    <row r="7" spans="1:22" x14ac:dyDescent="0.2">
      <c r="A7">
        <v>326020823</v>
      </c>
      <c r="B7" t="s">
        <v>106</v>
      </c>
      <c r="C7" t="s">
        <v>107</v>
      </c>
      <c r="D7" t="s">
        <v>108</v>
      </c>
      <c r="E7" t="s">
        <v>109</v>
      </c>
      <c r="F7">
        <v>50</v>
      </c>
      <c r="G7" t="s">
        <v>24</v>
      </c>
      <c r="H7" s="1">
        <v>45722.060416666667</v>
      </c>
      <c r="I7">
        <v>48918</v>
      </c>
      <c r="J7">
        <v>5449</v>
      </c>
      <c r="K7" t="str">
        <f>"0527"</f>
        <v>0527</v>
      </c>
      <c r="L7">
        <v>1</v>
      </c>
      <c r="M7" t="s">
        <v>26</v>
      </c>
      <c r="N7" t="s">
        <v>110</v>
      </c>
      <c r="Q7" t="s">
        <v>27</v>
      </c>
      <c r="R7" t="s">
        <v>28</v>
      </c>
      <c r="T7">
        <v>49158669</v>
      </c>
      <c r="U7">
        <v>86001574</v>
      </c>
      <c r="V7">
        <v>127753</v>
      </c>
    </row>
    <row r="8" spans="1:22" x14ac:dyDescent="0.2">
      <c r="B8" t="s">
        <v>103</v>
      </c>
      <c r="D8" t="s">
        <v>104</v>
      </c>
      <c r="E8" t="s">
        <v>105</v>
      </c>
      <c r="F8">
        <v>152</v>
      </c>
      <c r="G8" t="s">
        <v>24</v>
      </c>
      <c r="H8" s="1">
        <v>45722.06527777778</v>
      </c>
      <c r="I8">
        <v>722157</v>
      </c>
      <c r="J8">
        <v>7788</v>
      </c>
      <c r="K8" t="str">
        <f>"0627"</f>
        <v>0627</v>
      </c>
      <c r="L8">
        <v>1</v>
      </c>
      <c r="M8" t="s">
        <v>26</v>
      </c>
      <c r="Q8" t="s">
        <v>27</v>
      </c>
      <c r="R8" t="s">
        <v>28</v>
      </c>
      <c r="T8">
        <v>49159298</v>
      </c>
      <c r="U8">
        <v>86001575</v>
      </c>
      <c r="V8">
        <v>127754</v>
      </c>
    </row>
    <row r="9" spans="1:22" x14ac:dyDescent="0.2">
      <c r="A9" t="str">
        <f>"005533425"</f>
        <v>005533425</v>
      </c>
      <c r="B9" t="s">
        <v>99</v>
      </c>
      <c r="C9" t="s">
        <v>100</v>
      </c>
      <c r="D9" t="s">
        <v>101</v>
      </c>
      <c r="E9" t="s">
        <v>102</v>
      </c>
      <c r="F9">
        <v>65</v>
      </c>
      <c r="G9" t="s">
        <v>24</v>
      </c>
      <c r="H9" s="1">
        <v>45722.076388888891</v>
      </c>
      <c r="I9">
        <v>473237</v>
      </c>
      <c r="J9" t="str">
        <f>"0209"</f>
        <v>0209</v>
      </c>
      <c r="K9" t="str">
        <f>"0226"</f>
        <v>0226</v>
      </c>
      <c r="L9">
        <v>1</v>
      </c>
      <c r="M9" t="s">
        <v>26</v>
      </c>
      <c r="Q9" t="s">
        <v>27</v>
      </c>
      <c r="R9" t="s">
        <v>28</v>
      </c>
      <c r="T9">
        <v>49160497</v>
      </c>
      <c r="U9">
        <v>86001579</v>
      </c>
      <c r="V9">
        <v>127755</v>
      </c>
    </row>
    <row r="10" spans="1:22" x14ac:dyDescent="0.2">
      <c r="A10" t="str">
        <f>"027674585"</f>
        <v>027674585</v>
      </c>
      <c r="B10" t="s">
        <v>96</v>
      </c>
      <c r="C10" t="s">
        <v>97</v>
      </c>
      <c r="D10">
        <v>50762295776</v>
      </c>
      <c r="E10" t="s">
        <v>98</v>
      </c>
      <c r="F10">
        <v>30</v>
      </c>
      <c r="G10" t="s">
        <v>24</v>
      </c>
      <c r="H10" s="1">
        <v>45722.117361111108</v>
      </c>
      <c r="I10">
        <v>509768</v>
      </c>
      <c r="J10">
        <v>9946</v>
      </c>
      <c r="K10">
        <v>1127</v>
      </c>
      <c r="L10">
        <v>1</v>
      </c>
      <c r="M10" t="s">
        <v>26</v>
      </c>
      <c r="Q10" t="s">
        <v>33</v>
      </c>
      <c r="R10" t="s">
        <v>28</v>
      </c>
      <c r="T10">
        <v>49160625</v>
      </c>
      <c r="U10">
        <v>86001580</v>
      </c>
      <c r="V10">
        <v>127756</v>
      </c>
    </row>
    <row r="11" spans="1:22" x14ac:dyDescent="0.2">
      <c r="B11" t="s">
        <v>93</v>
      </c>
      <c r="E11" t="s">
        <v>94</v>
      </c>
      <c r="F11">
        <v>10</v>
      </c>
      <c r="G11" t="s">
        <v>24</v>
      </c>
      <c r="H11" s="1">
        <v>45722.118055555555</v>
      </c>
      <c r="I11">
        <v>61790</v>
      </c>
      <c r="J11">
        <v>7449</v>
      </c>
      <c r="K11">
        <v>1127</v>
      </c>
      <c r="L11">
        <v>1</v>
      </c>
      <c r="M11" t="s">
        <v>26</v>
      </c>
      <c r="N11" t="s">
        <v>95</v>
      </c>
      <c r="Q11" t="s">
        <v>27</v>
      </c>
      <c r="R11" t="s">
        <v>28</v>
      </c>
      <c r="T11">
        <v>49160628</v>
      </c>
      <c r="U11">
        <v>86001581</v>
      </c>
      <c r="V11">
        <v>127757</v>
      </c>
    </row>
    <row r="12" spans="1:22" x14ac:dyDescent="0.2">
      <c r="B12" t="s">
        <v>90</v>
      </c>
      <c r="E12" t="s">
        <v>91</v>
      </c>
      <c r="F12">
        <v>724</v>
      </c>
      <c r="G12" t="s">
        <v>24</v>
      </c>
      <c r="H12" s="1">
        <v>45722.25277777778</v>
      </c>
      <c r="I12">
        <v>22509</v>
      </c>
      <c r="J12">
        <v>6101</v>
      </c>
      <c r="K12" t="str">
        <f>"0725"</f>
        <v>0725</v>
      </c>
      <c r="L12">
        <v>1</v>
      </c>
      <c r="M12" t="s">
        <v>26</v>
      </c>
      <c r="N12" t="s">
        <v>92</v>
      </c>
      <c r="Q12" t="s">
        <v>27</v>
      </c>
      <c r="R12" t="s">
        <v>28</v>
      </c>
      <c r="T12">
        <v>49161205</v>
      </c>
      <c r="U12">
        <v>87001001</v>
      </c>
      <c r="V12">
        <v>127758</v>
      </c>
    </row>
    <row r="13" spans="1:22" x14ac:dyDescent="0.2">
      <c r="A13">
        <v>326852365</v>
      </c>
      <c r="B13" t="s">
        <v>85</v>
      </c>
      <c r="C13" t="s">
        <v>86</v>
      </c>
      <c r="D13" t="s">
        <v>87</v>
      </c>
      <c r="E13" t="s">
        <v>88</v>
      </c>
      <c r="F13">
        <v>100</v>
      </c>
      <c r="G13" t="s">
        <v>24</v>
      </c>
      <c r="H13" s="1">
        <v>45722.265277777777</v>
      </c>
      <c r="I13" t="str">
        <f>"0523050"</f>
        <v>0523050</v>
      </c>
      <c r="J13">
        <v>9318</v>
      </c>
      <c r="K13">
        <v>1129</v>
      </c>
      <c r="L13">
        <v>1</v>
      </c>
      <c r="M13" t="s">
        <v>26</v>
      </c>
      <c r="N13" t="s">
        <v>89</v>
      </c>
      <c r="Q13" t="s">
        <v>27</v>
      </c>
      <c r="R13" t="s">
        <v>28</v>
      </c>
      <c r="T13">
        <v>49161316</v>
      </c>
      <c r="U13">
        <v>87001002</v>
      </c>
      <c r="V13">
        <v>127759</v>
      </c>
    </row>
    <row r="14" spans="1:22" x14ac:dyDescent="0.2">
      <c r="A14">
        <v>315632257</v>
      </c>
      <c r="B14" t="s">
        <v>81</v>
      </c>
      <c r="C14" t="s">
        <v>82</v>
      </c>
      <c r="E14" t="s">
        <v>83</v>
      </c>
      <c r="F14">
        <v>100</v>
      </c>
      <c r="G14" t="s">
        <v>24</v>
      </c>
      <c r="H14" s="1">
        <v>45722.311805555553</v>
      </c>
      <c r="I14">
        <v>3312738</v>
      </c>
      <c r="J14">
        <v>3889</v>
      </c>
      <c r="K14" t="str">
        <f>"0330"</f>
        <v>0330</v>
      </c>
      <c r="L14">
        <v>1</v>
      </c>
      <c r="M14" t="s">
        <v>26</v>
      </c>
      <c r="N14" t="s">
        <v>84</v>
      </c>
      <c r="Q14" t="s">
        <v>33</v>
      </c>
      <c r="R14" t="s">
        <v>28</v>
      </c>
      <c r="T14">
        <v>49162263</v>
      </c>
      <c r="U14">
        <v>87001003</v>
      </c>
      <c r="V14">
        <v>127760</v>
      </c>
    </row>
    <row r="15" spans="1:22" x14ac:dyDescent="0.2">
      <c r="A15" t="str">
        <f>"061988176"</f>
        <v>061988176</v>
      </c>
      <c r="B15" t="s">
        <v>75</v>
      </c>
      <c r="C15" t="s">
        <v>76</v>
      </c>
      <c r="D15" t="s">
        <v>77</v>
      </c>
      <c r="E15" t="s">
        <v>78</v>
      </c>
      <c r="F15">
        <v>50</v>
      </c>
      <c r="G15" t="s">
        <v>24</v>
      </c>
      <c r="H15" s="1">
        <v>45722.336111111108</v>
      </c>
      <c r="I15">
        <v>3408718</v>
      </c>
      <c r="J15">
        <v>8521</v>
      </c>
      <c r="K15" t="str">
        <f>"0627"</f>
        <v>0627</v>
      </c>
      <c r="L15">
        <v>1</v>
      </c>
      <c r="M15" t="s">
        <v>26</v>
      </c>
      <c r="N15" t="s">
        <v>79</v>
      </c>
      <c r="O15" t="s">
        <v>80</v>
      </c>
      <c r="P15">
        <v>89</v>
      </c>
      <c r="Q15" t="s">
        <v>33</v>
      </c>
      <c r="R15" t="s">
        <v>28</v>
      </c>
      <c r="T15">
        <v>49162978</v>
      </c>
      <c r="U15">
        <v>87001004</v>
      </c>
      <c r="V15">
        <v>127761</v>
      </c>
    </row>
    <row r="16" spans="1:22" x14ac:dyDescent="0.2">
      <c r="A16" t="str">
        <f>"028814952"</f>
        <v>028814952</v>
      </c>
      <c r="B16" t="s">
        <v>70</v>
      </c>
      <c r="C16" t="s">
        <v>71</v>
      </c>
      <c r="D16" t="s">
        <v>72</v>
      </c>
      <c r="E16" t="s">
        <v>73</v>
      </c>
      <c r="F16">
        <v>50</v>
      </c>
      <c r="G16" t="s">
        <v>24</v>
      </c>
      <c r="H16" s="1">
        <v>45722.356944444444</v>
      </c>
      <c r="I16">
        <v>36544</v>
      </c>
      <c r="J16" t="str">
        <f>"0920"</f>
        <v>0920</v>
      </c>
      <c r="K16">
        <v>1229</v>
      </c>
      <c r="L16">
        <v>1</v>
      </c>
      <c r="M16" t="s">
        <v>26</v>
      </c>
      <c r="N16" t="s">
        <v>74</v>
      </c>
      <c r="Q16" t="s">
        <v>27</v>
      </c>
      <c r="R16" t="s">
        <v>28</v>
      </c>
      <c r="T16">
        <v>49163751</v>
      </c>
      <c r="U16">
        <v>87001005</v>
      </c>
      <c r="V16">
        <v>127762</v>
      </c>
    </row>
    <row r="17" spans="1:22" x14ac:dyDescent="0.2">
      <c r="A17" t="str">
        <f>"024879199"</f>
        <v>024879199</v>
      </c>
      <c r="B17" t="s">
        <v>65</v>
      </c>
      <c r="C17" t="s">
        <v>66</v>
      </c>
      <c r="D17" t="s">
        <v>67</v>
      </c>
      <c r="E17" t="s">
        <v>68</v>
      </c>
      <c r="F17">
        <v>100</v>
      </c>
      <c r="G17" t="s">
        <v>24</v>
      </c>
      <c r="H17" s="1">
        <v>45722.365972222222</v>
      </c>
      <c r="I17">
        <v>3576645</v>
      </c>
      <c r="J17">
        <v>7206</v>
      </c>
      <c r="K17" t="str">
        <f>"0230"</f>
        <v>0230</v>
      </c>
      <c r="L17">
        <v>1</v>
      </c>
      <c r="M17" t="s">
        <v>26</v>
      </c>
      <c r="N17" t="s">
        <v>69</v>
      </c>
      <c r="Q17" t="s">
        <v>33</v>
      </c>
      <c r="R17" t="s">
        <v>28</v>
      </c>
      <c r="T17">
        <v>49164131</v>
      </c>
      <c r="U17">
        <v>87001006</v>
      </c>
      <c r="V17">
        <v>127763</v>
      </c>
    </row>
    <row r="18" spans="1:22" x14ac:dyDescent="0.2">
      <c r="A18">
        <v>332370758</v>
      </c>
      <c r="B18" t="s">
        <v>60</v>
      </c>
      <c r="C18" t="s">
        <v>61</v>
      </c>
      <c r="D18" t="s">
        <v>62</v>
      </c>
      <c r="E18" t="s">
        <v>63</v>
      </c>
      <c r="F18">
        <v>130</v>
      </c>
      <c r="G18" t="s">
        <v>24</v>
      </c>
      <c r="H18" s="1">
        <v>45722.375</v>
      </c>
      <c r="I18">
        <v>3629683</v>
      </c>
      <c r="J18">
        <v>2630</v>
      </c>
      <c r="K18" t="str">
        <f>"0231"</f>
        <v>0231</v>
      </c>
      <c r="L18">
        <v>1</v>
      </c>
      <c r="M18" t="s">
        <v>26</v>
      </c>
      <c r="Q18" t="s">
        <v>64</v>
      </c>
      <c r="R18" t="s">
        <v>28</v>
      </c>
      <c r="T18">
        <v>49164530</v>
      </c>
      <c r="U18">
        <v>87001007</v>
      </c>
      <c r="V18">
        <v>127764</v>
      </c>
    </row>
    <row r="19" spans="1:22" x14ac:dyDescent="0.2">
      <c r="A19">
        <v>314017401</v>
      </c>
      <c r="B19" t="s">
        <v>56</v>
      </c>
      <c r="C19" t="s">
        <v>57</v>
      </c>
      <c r="D19" t="s">
        <v>58</v>
      </c>
      <c r="E19" t="s">
        <v>59</v>
      </c>
      <c r="F19">
        <v>180</v>
      </c>
      <c r="G19" t="s">
        <v>24</v>
      </c>
      <c r="H19" s="1">
        <v>45722.37777777778</v>
      </c>
      <c r="I19">
        <v>75134</v>
      </c>
      <c r="J19">
        <v>2227</v>
      </c>
      <c r="K19" t="str">
        <f>"0726"</f>
        <v>0726</v>
      </c>
      <c r="L19" t="s">
        <v>42</v>
      </c>
      <c r="M19" t="s">
        <v>26</v>
      </c>
      <c r="N19" t="s">
        <v>47</v>
      </c>
      <c r="Q19" t="s">
        <v>27</v>
      </c>
      <c r="R19" t="s">
        <v>28</v>
      </c>
      <c r="S19">
        <v>1673435</v>
      </c>
      <c r="T19">
        <v>49164696</v>
      </c>
      <c r="U19">
        <v>87001008</v>
      </c>
    </row>
    <row r="20" spans="1:22" x14ac:dyDescent="0.2">
      <c r="A20" t="str">
        <f>"011843323"</f>
        <v>011843323</v>
      </c>
      <c r="B20" t="s">
        <v>53</v>
      </c>
      <c r="C20" t="s">
        <v>54</v>
      </c>
      <c r="E20" t="s">
        <v>55</v>
      </c>
      <c r="F20">
        <v>360</v>
      </c>
      <c r="G20" t="s">
        <v>24</v>
      </c>
      <c r="H20" s="1">
        <v>45722.40625</v>
      </c>
      <c r="I20">
        <v>3862911</v>
      </c>
      <c r="J20">
        <v>6860</v>
      </c>
      <c r="K20" t="str">
        <f>"0126"</f>
        <v>0126</v>
      </c>
      <c r="L20">
        <v>1</v>
      </c>
      <c r="M20" t="s">
        <v>26</v>
      </c>
      <c r="Q20" t="s">
        <v>33</v>
      </c>
      <c r="R20" t="s">
        <v>28</v>
      </c>
      <c r="T20">
        <v>49166402</v>
      </c>
      <c r="U20">
        <v>87001009</v>
      </c>
      <c r="V20">
        <v>127765</v>
      </c>
    </row>
    <row r="21" spans="1:22" x14ac:dyDescent="0.2">
      <c r="A21" t="str">
        <f>"060719259"</f>
        <v>060719259</v>
      </c>
      <c r="B21" t="s">
        <v>48</v>
      </c>
      <c r="C21" t="s">
        <v>49</v>
      </c>
      <c r="D21" t="s">
        <v>50</v>
      </c>
      <c r="E21" t="s">
        <v>51</v>
      </c>
      <c r="F21">
        <v>120</v>
      </c>
      <c r="G21" t="s">
        <v>24</v>
      </c>
      <c r="H21" s="1">
        <v>45722.410416666666</v>
      </c>
      <c r="I21">
        <v>50085</v>
      </c>
      <c r="J21">
        <v>4640</v>
      </c>
      <c r="K21" t="str">
        <f>"0825"</f>
        <v>0825</v>
      </c>
      <c r="L21">
        <v>1</v>
      </c>
      <c r="M21" t="s">
        <v>26</v>
      </c>
      <c r="N21" t="s">
        <v>52</v>
      </c>
      <c r="Q21" t="s">
        <v>27</v>
      </c>
      <c r="R21" t="s">
        <v>28</v>
      </c>
      <c r="T21">
        <v>49166608</v>
      </c>
      <c r="U21">
        <v>87001010</v>
      </c>
      <c r="V21">
        <v>127766</v>
      </c>
    </row>
    <row r="22" spans="1:22" x14ac:dyDescent="0.2">
      <c r="A22">
        <v>325269058</v>
      </c>
      <c r="B22" t="s">
        <v>43</v>
      </c>
      <c r="C22" t="s">
        <v>44</v>
      </c>
      <c r="D22" t="s">
        <v>45</v>
      </c>
      <c r="E22" t="s">
        <v>46</v>
      </c>
      <c r="F22">
        <v>20</v>
      </c>
      <c r="G22" t="s">
        <v>24</v>
      </c>
      <c r="H22" s="1">
        <v>45722.417361111111</v>
      </c>
      <c r="I22">
        <v>3954107</v>
      </c>
      <c r="J22">
        <v>9937</v>
      </c>
      <c r="K22">
        <v>1029</v>
      </c>
      <c r="L22">
        <v>1</v>
      </c>
      <c r="M22" t="s">
        <v>26</v>
      </c>
      <c r="N22" t="s">
        <v>47</v>
      </c>
      <c r="Q22" t="s">
        <v>33</v>
      </c>
      <c r="R22" t="s">
        <v>28</v>
      </c>
      <c r="T22">
        <v>49167012</v>
      </c>
      <c r="U22">
        <v>87001011</v>
      </c>
      <c r="V22">
        <v>127767</v>
      </c>
    </row>
    <row r="23" spans="1:22" x14ac:dyDescent="0.2">
      <c r="A23">
        <v>327124749</v>
      </c>
      <c r="B23" t="s">
        <v>38</v>
      </c>
      <c r="C23" t="s">
        <v>39</v>
      </c>
      <c r="D23" t="s">
        <v>40</v>
      </c>
      <c r="E23" t="s">
        <v>41</v>
      </c>
      <c r="F23">
        <v>180</v>
      </c>
      <c r="G23" t="s">
        <v>24</v>
      </c>
      <c r="H23" s="1">
        <v>45722.420138888891</v>
      </c>
      <c r="I23">
        <v>3977603</v>
      </c>
      <c r="J23">
        <v>3186</v>
      </c>
      <c r="K23" t="str">
        <f>"0526"</f>
        <v>0526</v>
      </c>
      <c r="L23" t="s">
        <v>42</v>
      </c>
      <c r="M23" t="s">
        <v>26</v>
      </c>
      <c r="Q23" t="s">
        <v>33</v>
      </c>
      <c r="R23" t="s">
        <v>28</v>
      </c>
      <c r="S23">
        <v>1673550</v>
      </c>
      <c r="T23">
        <v>49167156</v>
      </c>
      <c r="U23">
        <v>87001012</v>
      </c>
    </row>
    <row r="24" spans="1:22" x14ac:dyDescent="0.2">
      <c r="A24">
        <v>214383549</v>
      </c>
      <c r="B24" t="s">
        <v>34</v>
      </c>
      <c r="C24" t="s">
        <v>35</v>
      </c>
      <c r="D24" t="s">
        <v>36</v>
      </c>
      <c r="E24" t="s">
        <v>37</v>
      </c>
      <c r="F24">
        <v>250</v>
      </c>
      <c r="G24" t="s">
        <v>24</v>
      </c>
      <c r="H24" s="1">
        <v>45722.443055555559</v>
      </c>
      <c r="I24">
        <v>4181812</v>
      </c>
      <c r="J24">
        <v>6892</v>
      </c>
      <c r="K24" t="str">
        <f>"0330"</f>
        <v>0330</v>
      </c>
      <c r="L24">
        <v>1</v>
      </c>
      <c r="M24" t="s">
        <v>26</v>
      </c>
      <c r="Q24" t="s">
        <v>33</v>
      </c>
      <c r="R24" t="s">
        <v>28</v>
      </c>
      <c r="T24">
        <v>49168439</v>
      </c>
      <c r="U24">
        <v>87001013</v>
      </c>
      <c r="V24">
        <v>127768</v>
      </c>
    </row>
    <row r="25" spans="1:22" x14ac:dyDescent="0.2">
      <c r="A25">
        <v>206207433</v>
      </c>
      <c r="B25" t="s">
        <v>29</v>
      </c>
      <c r="C25" t="s">
        <v>30</v>
      </c>
      <c r="D25" t="s">
        <v>31</v>
      </c>
      <c r="F25">
        <v>30</v>
      </c>
      <c r="G25" t="s">
        <v>24</v>
      </c>
      <c r="H25" s="1">
        <v>45722.456944444442</v>
      </c>
      <c r="I25">
        <v>4307462</v>
      </c>
      <c r="J25">
        <v>8839</v>
      </c>
      <c r="K25" t="str">
        <f>"0629"</f>
        <v>0629</v>
      </c>
      <c r="L25">
        <v>1</v>
      </c>
      <c r="M25" t="s">
        <v>26</v>
      </c>
      <c r="N25" t="s">
        <v>32</v>
      </c>
      <c r="Q25" t="s">
        <v>33</v>
      </c>
      <c r="R25" t="s">
        <v>28</v>
      </c>
      <c r="T25">
        <v>49169196</v>
      </c>
      <c r="U25">
        <v>87001015</v>
      </c>
      <c r="V25">
        <v>127769</v>
      </c>
    </row>
    <row r="26" spans="1:22" x14ac:dyDescent="0.2">
      <c r="A26">
        <v>338784267</v>
      </c>
      <c r="B26" t="s">
        <v>22</v>
      </c>
      <c r="E26" t="s">
        <v>23</v>
      </c>
      <c r="F26">
        <v>360</v>
      </c>
      <c r="G26" t="s">
        <v>24</v>
      </c>
      <c r="H26" s="1">
        <v>45722.53402777778</v>
      </c>
      <c r="I26" t="str">
        <f>"0265223"</f>
        <v>0265223</v>
      </c>
      <c r="J26">
        <v>5962</v>
      </c>
      <c r="K26" t="str">
        <f>"0529"</f>
        <v>0529</v>
      </c>
      <c r="L26" t="s">
        <v>25</v>
      </c>
      <c r="M26" t="s">
        <v>26</v>
      </c>
      <c r="Q26" t="s">
        <v>27</v>
      </c>
      <c r="R26" t="s">
        <v>28</v>
      </c>
      <c r="T26">
        <v>49173296</v>
      </c>
      <c r="U26">
        <v>87001016</v>
      </c>
      <c r="V26">
        <v>127781</v>
      </c>
    </row>
  </sheetData>
  <autoFilter ref="A1:V26">
    <sortState ref="A2:V26">
      <sortCondition ref="H1:H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ExportHistory_01.03.25_06.03.25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2025-03-06T11:01:23Z</dcterms:created>
  <dcterms:modified xsi:type="dcterms:W3CDTF">2025-03-06T11:02:54Z</dcterms:modified>
</cp:coreProperties>
</file>