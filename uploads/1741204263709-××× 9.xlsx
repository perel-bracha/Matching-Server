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13_ncr:40009_{12699F50-7EBD-448E-B0CA-AB32EE439D24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ExportHistory_01.03.25_05.03.25!$A$1:$V$69</definedName>
  </definedNames>
  <calcPr calcId="0"/>
</workbook>
</file>

<file path=xl/calcChain.xml><?xml version="1.0" encoding="utf-8"?>
<calcChain xmlns="http://schemas.openxmlformats.org/spreadsheetml/2006/main">
  <c r="A69" i="1" l="1"/>
  <c r="K69" i="1"/>
  <c r="K66" i="1"/>
  <c r="J67" i="1"/>
  <c r="K67" i="1"/>
  <c r="I68" i="1"/>
  <c r="J68" i="1"/>
  <c r="K68" i="1"/>
  <c r="K62" i="1"/>
  <c r="K63" i="1"/>
  <c r="A64" i="1"/>
  <c r="K64" i="1"/>
  <c r="A65" i="1"/>
  <c r="K65" i="1"/>
  <c r="I60" i="1"/>
  <c r="K60" i="1"/>
  <c r="K61" i="1"/>
  <c r="K59" i="1"/>
  <c r="A58" i="1"/>
  <c r="I56" i="1"/>
  <c r="K56" i="1"/>
  <c r="J54" i="1"/>
  <c r="K54" i="1"/>
  <c r="A51" i="1"/>
  <c r="K51" i="1"/>
  <c r="I52" i="1"/>
  <c r="K52" i="1"/>
  <c r="A49" i="1"/>
  <c r="K49" i="1"/>
  <c r="K50" i="1"/>
  <c r="K48" i="1"/>
  <c r="A47" i="1"/>
  <c r="K47" i="1"/>
  <c r="A46" i="1"/>
  <c r="I46" i="1"/>
  <c r="K46" i="1"/>
  <c r="A43" i="1"/>
  <c r="I43" i="1"/>
  <c r="B44" i="1"/>
  <c r="J44" i="1"/>
  <c r="K44" i="1"/>
  <c r="K45" i="1"/>
  <c r="K41" i="1"/>
  <c r="I40" i="1"/>
  <c r="J40" i="1"/>
  <c r="K40" i="1"/>
  <c r="K39" i="1"/>
  <c r="K37" i="1"/>
  <c r="I38" i="1"/>
  <c r="K38" i="1"/>
  <c r="K35" i="1"/>
  <c r="K32" i="1"/>
  <c r="I33" i="1"/>
  <c r="K33" i="1"/>
  <c r="B34" i="1"/>
  <c r="I34" i="1"/>
  <c r="K34" i="1"/>
  <c r="I30" i="1"/>
  <c r="K30" i="1"/>
  <c r="I28" i="1"/>
  <c r="K28" i="1"/>
  <c r="K29" i="1"/>
  <c r="K26" i="1"/>
  <c r="K27" i="1"/>
  <c r="A25" i="1"/>
  <c r="K25" i="1"/>
  <c r="K24" i="1"/>
  <c r="K20" i="1"/>
  <c r="A21" i="1"/>
  <c r="I21" i="1"/>
  <c r="K21" i="1"/>
  <c r="A19" i="1"/>
  <c r="K19" i="1"/>
  <c r="K17" i="1"/>
  <c r="K18" i="1"/>
  <c r="I16" i="1"/>
  <c r="K16" i="1"/>
  <c r="K14" i="1"/>
  <c r="K13" i="1"/>
  <c r="K12" i="1"/>
  <c r="I11" i="1"/>
  <c r="I8" i="1"/>
  <c r="K7" i="1"/>
  <c r="A6" i="1"/>
  <c r="K6" i="1"/>
  <c r="K5" i="1"/>
  <c r="I4" i="1"/>
  <c r="K4" i="1"/>
  <c r="A3" i="1"/>
  <c r="K3" i="1"/>
  <c r="I2" i="1"/>
</calcChain>
</file>

<file path=xl/sharedStrings.xml><?xml version="1.0" encoding="utf-8"?>
<sst xmlns="http://schemas.openxmlformats.org/spreadsheetml/2006/main" count="522" uniqueCount="233">
  <si>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</si>
  <si>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</si>
  <si>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</si>
  <si>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</si>
  <si>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</si>
  <si>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</si>
  <si>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</si>
  <si>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</si>
  <si>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</si>
  <si>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</si>
  <si>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</si>
  <si>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</si>
  <si>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</si>
  <si>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</si>
  <si>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</si>
  <si>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</si>
  <si>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</si>
  <si>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</si>
  <si>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</si>
  <si>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</si>
  <si>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</si>
  <si>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</si>
  <si>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רחל צאלים</t>
  </si>
  <si>
    <t>מישאל מזרחי 11 ירושלים</t>
  </si>
  <si>
    <t>052-7127502</t>
  </si>
  <si>
    <t>0527127502@gmail.com</t>
  </si>
  <si>
    <t>שקל</t>
  </si>
  <si>
    <t>1 מתוך 10</t>
  </si>
  <si>
    <t>קמפיין הכנסת כלה תשפ"ה</t>
  </si>
  <si>
    <t>מתרימה יהודית צאלים מדירת וילה</t>
  </si>
  <si>
    <t>ויזה</t>
  </si>
  <si>
    <t>ישראכרט</t>
  </si>
  <si>
    <t>אילה בלוק</t>
  </si>
  <si>
    <t>מסטרכרד</t>
  </si>
  <si>
    <t>אסתר לבין</t>
  </si>
  <si>
    <t>אביגיל שמעוני</t>
  </si>
  <si>
    <t>רחל פעלד</t>
  </si>
  <si>
    <t>פעלד דסי</t>
  </si>
  <si>
    <t>אברהם תניא</t>
  </si>
  <si>
    <t>מיכל אברהם</t>
  </si>
  <si>
    <t>אביגיל אבוחצירא</t>
  </si>
  <si>
    <t>r0527127502@gmail.com</t>
  </si>
  <si>
    <t>הו"ק</t>
  </si>
  <si>
    <t>צאלים רחל</t>
  </si>
  <si>
    <t>מיאל מזרחי 11 ירושלים</t>
  </si>
  <si>
    <t>קרל יחזקאל פלד</t>
  </si>
  <si>
    <t>כף החיים 24  ביתר עילית</t>
  </si>
  <si>
    <t>054-8458714</t>
  </si>
  <si>
    <t>a0542546666@gmail.com</t>
  </si>
  <si>
    <t>רוזנבלום שולמית</t>
  </si>
  <si>
    <t>שולמית רוזנבלום</t>
  </si>
  <si>
    <t>אפרים משען</t>
  </si>
  <si>
    <t>כף החיים 31 ביתר</t>
  </si>
  <si>
    <t>050-4123672</t>
  </si>
  <si>
    <t>em0504123672@gmail.com</t>
  </si>
  <si>
    <t>שרה לוי</t>
  </si>
  <si>
    <t>סרודי יפה</t>
  </si>
  <si>
    <t>הילה אלמגור</t>
  </si>
  <si>
    <t>מוישי ואברימי</t>
  </si>
  <si>
    <t>חיה רוטשטיין</t>
  </si>
  <si>
    <t>אביבה בנוביץ</t>
  </si>
  <si>
    <t>מרים הנביאה 27 דירה 14 בית שמש</t>
  </si>
  <si>
    <t>058-3205876</t>
  </si>
  <si>
    <t>avivamichaels613@gmail.com</t>
  </si>
  <si>
    <t>תהילה שטרייכטר</t>
  </si>
  <si>
    <t>וינקלר יוסף</t>
  </si>
  <si>
    <t>מירא נומרק</t>
  </si>
  <si>
    <t xml:space="preserve"> 07014D</t>
  </si>
  <si>
    <t>ציפורה טיסר</t>
  </si>
  <si>
    <t>גנגלוף חדווה</t>
  </si>
  <si>
    <t>אבישג בן דוד</t>
  </si>
  <si>
    <t>הילה כהן</t>
  </si>
  <si>
    <t>cohenhila2@gmail.com</t>
  </si>
  <si>
    <t>הדס אמיר</t>
  </si>
  <si>
    <t>רבין רעות</t>
  </si>
  <si>
    <t>רעות רבין</t>
  </si>
  <si>
    <t>מירי לנדו</t>
  </si>
  <si>
    <t>רמב"ם 19 אלעד</t>
  </si>
  <si>
    <t>054-8452354</t>
  </si>
  <si>
    <t>m8452354@gmail.com</t>
  </si>
  <si>
    <t>רות ברג</t>
  </si>
  <si>
    <t>Geller</t>
  </si>
  <si>
    <t>Hadishon</t>
  </si>
  <si>
    <t>rivkiegeller@yahoo.com</t>
  </si>
  <si>
    <t xml:space="preserve"> 08804A</t>
  </si>
  <si>
    <t>Malka Geller</t>
  </si>
  <si>
    <t>דסי פעלד</t>
  </si>
  <si>
    <t>דוד פריינד</t>
  </si>
  <si>
    <t>חוני המעגל אלעד</t>
  </si>
  <si>
    <t>054-8413251</t>
  </si>
  <si>
    <t>noa47017@gmail.com</t>
  </si>
  <si>
    <t>מירב מטוס</t>
  </si>
  <si>
    <t>ראוכברגר יהושע</t>
  </si>
  <si>
    <t>בעל התניא 20  בני ברק</t>
  </si>
  <si>
    <t>jehoshuara@gmail.com</t>
  </si>
  <si>
    <t xml:space="preserve">לכבודה של הכלה המיועדת הצדיקה היקרה והמיוחדת דבי ראוכברגר שכל כך חשובה ויקרה לליבינו היקרה </t>
  </si>
  <si>
    <t>054-8450107</t>
  </si>
  <si>
    <t>NedarimPhone</t>
  </si>
  <si>
    <t>שרי</t>
  </si>
  <si>
    <t>ברכה אייזנבך</t>
  </si>
  <si>
    <t>ג'ניפר סייבל</t>
  </si>
  <si>
    <t>נריה הנביא 52, דירה 1 בית שמש</t>
  </si>
  <si>
    <t>058-4886954</t>
  </si>
  <si>
    <t>csaibil@gmail.com</t>
  </si>
  <si>
    <t xml:space="preserve"> 00055D</t>
  </si>
  <si>
    <t>נעמי זינר</t>
  </si>
  <si>
    <t>רחלי וויליג</t>
  </si>
  <si>
    <t>בנימני מנחם</t>
  </si>
  <si>
    <t>אהרון אשכולי 113 ירושלים</t>
  </si>
  <si>
    <t>050-4249968</t>
  </si>
  <si>
    <t>0504249968b@gmail.com</t>
  </si>
  <si>
    <t>חני בנימיני</t>
  </si>
  <si>
    <t>דבורה גופריין</t>
  </si>
  <si>
    <t>יעלי דוכן</t>
  </si>
  <si>
    <t>Bernard I Moskowitz</t>
  </si>
  <si>
    <t>מרומי שדה 18 מודיעין עילית</t>
  </si>
  <si>
    <t>058-6783237</t>
  </si>
  <si>
    <t>bmoskowitz18@hotmail.com</t>
  </si>
  <si>
    <t>שושנה שפירא</t>
  </si>
  <si>
    <t>הילה פרץ</t>
  </si>
  <si>
    <t>אלקבץ ראשון לציון</t>
  </si>
  <si>
    <t>052-7652977</t>
  </si>
  <si>
    <t>hila2977@gmail.com</t>
  </si>
  <si>
    <t>למכירה הסינית</t>
  </si>
  <si>
    <t>רחל פאק</t>
  </si>
  <si>
    <t>רבי עקיבא 18 דירה 20 מודיעין עילית</t>
  </si>
  <si>
    <t>053-3117791</t>
  </si>
  <si>
    <t>rochelpack@gmail.com</t>
  </si>
  <si>
    <t>בהצלחה בכל!</t>
  </si>
  <si>
    <t>צאלים אסתר</t>
  </si>
  <si>
    <t>ek0548524393@gmail.com</t>
  </si>
  <si>
    <t>ישי רוט</t>
  </si>
  <si>
    <t>אברהם בן דוד בני ברק</t>
  </si>
  <si>
    <t>050-4114477</t>
  </si>
  <si>
    <t>נעמי רוט</t>
  </si>
  <si>
    <t>וורבוב</t>
  </si>
  <si>
    <t>058-3213122</t>
  </si>
  <si>
    <t>קורלנסקי אביגיל</t>
  </si>
  <si>
    <t>חני קורלנסקי</t>
  </si>
  <si>
    <t>שטרייכער משה</t>
  </si>
  <si>
    <t>תהילה שטייכער</t>
  </si>
  <si>
    <t>יהודית ברוכי</t>
  </si>
  <si>
    <t>ארי פרל</t>
  </si>
  <si>
    <t>aper613@gmail.com</t>
  </si>
  <si>
    <t>גולדי פרל דירה 7</t>
  </si>
  <si>
    <t>הרב קופר</t>
  </si>
  <si>
    <t>מונסונגו מרים</t>
  </si>
  <si>
    <t>מרים מונסונגו</t>
  </si>
  <si>
    <t>רייך מאיר</t>
  </si>
  <si>
    <t>הרב הרשלר 10 ירושלים</t>
  </si>
  <si>
    <t>052-7111277</t>
  </si>
  <si>
    <t>m0527111277@gmail.com</t>
  </si>
  <si>
    <t>חיה רייך שנה ב</t>
  </si>
  <si>
    <t xml:space="preserve">בתיה טורגמן </t>
  </si>
  <si>
    <t>052-7648309</t>
  </si>
  <si>
    <t>b0527648309@gmail.com</t>
  </si>
  <si>
    <t xml:space="preserve">יוכבד פרוינד </t>
  </si>
  <si>
    <t>נעמה</t>
  </si>
  <si>
    <t>פינקל נתן צבי, 9 Petah Tikva</t>
  </si>
  <si>
    <t>058-4700757</t>
  </si>
  <si>
    <t>naama.fouks@gmail.com</t>
  </si>
  <si>
    <t>נעמה פוקס</t>
  </si>
  <si>
    <t>שושנה ויינברג</t>
  </si>
  <si>
    <t>מח"ל 10 ירושלים</t>
  </si>
  <si>
    <t>053-3822678</t>
  </si>
  <si>
    <t>shanstraj@gmail.com</t>
  </si>
  <si>
    <t>תהילה שטרייכער</t>
  </si>
  <si>
    <t>לאה רייך</t>
  </si>
  <si>
    <t>נחל אוריה 17 בית שמש</t>
  </si>
  <si>
    <t>058-3200522</t>
  </si>
  <si>
    <t>l0583200522@gmail.com</t>
  </si>
  <si>
    <t>פנינה רייך</t>
  </si>
  <si>
    <t>פרידמן</t>
  </si>
  <si>
    <t>ציפורה חיה חביב</t>
  </si>
  <si>
    <t xml:space="preserve">יוסף ראוכברגר </t>
  </si>
  <si>
    <t>בן עוזיאל 8  ירושלים</t>
  </si>
  <si>
    <t>050-6550850</t>
  </si>
  <si>
    <t>ctavs1@gmail.com</t>
  </si>
  <si>
    <t>1 מתוך 3</t>
  </si>
  <si>
    <t xml:space="preserve">לכבוד דבי האלופה שלנו מאמא ואבא </t>
  </si>
  <si>
    <t>אמריקן אקספרס</t>
  </si>
  <si>
    <t>אילה פורדשם</t>
  </si>
  <si>
    <t>פלים 72 ירושלים</t>
  </si>
  <si>
    <t>058-3297506</t>
  </si>
  <si>
    <t>ayala@fordsham.com</t>
  </si>
  <si>
    <t>תהילה שטרייכער אלופה!! תזכו למצוות</t>
  </si>
  <si>
    <t>אביגיל גרזי</t>
  </si>
  <si>
    <t>בית השיטה, 165 בית השיטה</t>
  </si>
  <si>
    <t>052-8669319</t>
  </si>
  <si>
    <t>avigaileyda@gmail.com</t>
  </si>
  <si>
    <t>מזל מנוחה גבאי</t>
  </si>
  <si>
    <t>רבי מאיר 32 עמנואל</t>
  </si>
  <si>
    <t>058-3229789</t>
  </si>
  <si>
    <t>טימסיט יעל</t>
  </si>
  <si>
    <t>שושטרי אפרת</t>
  </si>
  <si>
    <t>הדר דהאן</t>
  </si>
  <si>
    <t>קרול גולדינג</t>
  </si>
  <si>
    <t>הפלמ"ח 44א ירושלים</t>
  </si>
  <si>
    <t>052-3377051</t>
  </si>
  <si>
    <t>carolegolding@gmail.com</t>
  </si>
  <si>
    <t>יהודית צאלים</t>
  </si>
  <si>
    <t>שמחה נחמיאס</t>
  </si>
  <si>
    <t>אלי כהן 224 גן יבנה</t>
  </si>
  <si>
    <t>053-3104775</t>
  </si>
  <si>
    <t>simchatalya@gmail.com</t>
  </si>
  <si>
    <t>נעמה נחמיאס</t>
  </si>
  <si>
    <t>העברה בקליק</t>
  </si>
  <si>
    <t>חביב ראובן</t>
  </si>
  <si>
    <t>058-3214981</t>
  </si>
  <si>
    <t>נא להעביר למוכשרת עם הלב זהב (ציפורה חביב י"ג)</t>
  </si>
  <si>
    <t>בית הכנסת חניכי הישיבות בית וגן</t>
  </si>
  <si>
    <t>נועה סבאן</t>
  </si>
  <si>
    <t>כליל החורש אופקים</t>
  </si>
  <si>
    <t>058-3231328</t>
  </si>
  <si>
    <t>noali1996@gmail.com</t>
  </si>
  <si>
    <t>תמר אביב</t>
  </si>
  <si>
    <t>נחום בנימיני</t>
  </si>
  <si>
    <t>יעקובוב רייצל</t>
  </si>
  <si>
    <t>נעמי טל</t>
  </si>
  <si>
    <t>טל ניצן</t>
  </si>
  <si>
    <t xml:space="preserve">Kadoche  Yohan </t>
  </si>
  <si>
    <t>Degania 14, Raanana Raanana</t>
  </si>
  <si>
    <t>054-2119344</t>
  </si>
  <si>
    <t>ykadoche@gmail.com</t>
  </si>
  <si>
    <t>1 מתוך 2</t>
  </si>
  <si>
    <t>Alona kadoche</t>
  </si>
  <si>
    <t>דרקסלר משה</t>
  </si>
  <si>
    <t>איילת מרטין</t>
  </si>
  <si>
    <t>שחר כפיר</t>
  </si>
  <si>
    <t>טברסקי דוד</t>
  </si>
  <si>
    <t>הרב שאולזון 64/7 ירושלים</t>
  </si>
  <si>
    <t>davidatwersky@gmail.com</t>
  </si>
  <si>
    <t>Miri Twersky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</si>
</sst>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rightToLeft="1" tabSelected="1" topLeftCell="C1" workbookViewId="0">
      <selection activeCell="E55" sqref="E55"/>
    </sheetView>
  </sheetViews>
  <sheetFormatPr defaultRowHeight="14.25" x14ac:dyDescent="0.2"/>
  <cols>
    <col min="1" max="1" width="11.125" bestFit="1" customWidth="1"/>
    <col min="2" max="2" width="22.5" bestFit="1" customWidth="1"/>
    <col min="3" max="3" width="57.875" bestFit="1" customWidth="1"/>
    <col min="4" max="4" width="14" bestFit="1" customWidth="1"/>
    <col min="5" max="5" width="29" bestFit="1" customWidth="1"/>
    <col min="6" max="6" width="6.8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20" bestFit="1" customWidth="1"/>
    <col min="14" max="14" width="77" bestFit="1" customWidth="1"/>
    <col min="15" max="15" width="37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337788707</v>
      </c>
      <c r="B2" t="s">
        <v>229</v>
      </c>
      <c r="C2" t="s">
        <v>230</v>
      </c>
      <c r="E2" t="s">
        <v>231</v>
      </c>
      <c r="F2">
        <v>60</v>
      </c>
      <c r="G2" t="s">
        <v>26</v>
      </c>
      <c r="H2" s="1">
        <v>45721.871527777781</v>
      </c>
      <c r="I2" t="str">
        <f>"0028092"</f>
        <v>0028092</v>
      </c>
      <c r="J2">
        <v>5497</v>
      </c>
      <c r="K2">
        <v>1026</v>
      </c>
      <c r="L2" t="s">
        <v>178</v>
      </c>
      <c r="M2" t="s">
        <v>28</v>
      </c>
      <c r="N2" t="s">
        <v>232</v>
      </c>
      <c r="Q2" t="s">
        <v>30</v>
      </c>
      <c r="R2" t="s">
        <v>31</v>
      </c>
      <c r="T2">
        <v>49145015</v>
      </c>
      <c r="U2">
        <v>86001358</v>
      </c>
      <c r="V2">
        <v>127536</v>
      </c>
    </row>
    <row r="3" spans="1:22" x14ac:dyDescent="0.2">
      <c r="A3" t="str">
        <f>"036023547"</f>
        <v>036023547</v>
      </c>
      <c r="B3" t="s">
        <v>228</v>
      </c>
      <c r="F3">
        <v>72</v>
      </c>
      <c r="G3" t="s">
        <v>26</v>
      </c>
      <c r="H3" s="1">
        <v>45721.87222222222</v>
      </c>
      <c r="I3">
        <v>2414429</v>
      </c>
      <c r="J3">
        <v>6460</v>
      </c>
      <c r="K3" t="str">
        <f>"0830"</f>
        <v>0830</v>
      </c>
      <c r="L3">
        <v>1</v>
      </c>
      <c r="M3" t="s">
        <v>28</v>
      </c>
      <c r="N3" t="s">
        <v>195</v>
      </c>
      <c r="Q3" t="s">
        <v>30</v>
      </c>
      <c r="R3" t="s">
        <v>31</v>
      </c>
      <c r="T3">
        <v>49145073</v>
      </c>
      <c r="U3">
        <v>86001359</v>
      </c>
      <c r="V3">
        <v>127537</v>
      </c>
    </row>
    <row r="4" spans="1:22" x14ac:dyDescent="0.2">
      <c r="A4">
        <v>322653163</v>
      </c>
      <c r="B4" t="s">
        <v>226</v>
      </c>
      <c r="F4">
        <v>200</v>
      </c>
      <c r="G4" t="s">
        <v>26</v>
      </c>
      <c r="H4" s="1">
        <v>45721.872916666667</v>
      </c>
      <c r="I4" t="str">
        <f>"0077701"</f>
        <v>0077701</v>
      </c>
      <c r="J4">
        <v>8274</v>
      </c>
      <c r="K4" t="str">
        <f>"0828"</f>
        <v>0828</v>
      </c>
      <c r="L4">
        <v>1</v>
      </c>
      <c r="M4" t="s">
        <v>28</v>
      </c>
      <c r="N4" t="s">
        <v>227</v>
      </c>
      <c r="Q4" t="s">
        <v>30</v>
      </c>
      <c r="R4" t="s">
        <v>31</v>
      </c>
      <c r="T4">
        <v>49145115</v>
      </c>
      <c r="U4">
        <v>86001360</v>
      </c>
      <c r="V4">
        <v>127538</v>
      </c>
    </row>
    <row r="5" spans="1:22" x14ac:dyDescent="0.2">
      <c r="A5">
        <v>327156071</v>
      </c>
      <c r="B5" t="s">
        <v>220</v>
      </c>
      <c r="C5" t="s">
        <v>221</v>
      </c>
      <c r="D5" t="s">
        <v>222</v>
      </c>
      <c r="E5" t="s">
        <v>223</v>
      </c>
      <c r="F5">
        <v>2500</v>
      </c>
      <c r="G5" t="s">
        <v>26</v>
      </c>
      <c r="H5" s="1">
        <v>45721.873611111114</v>
      </c>
      <c r="I5">
        <v>59175</v>
      </c>
      <c r="J5">
        <v>7115</v>
      </c>
      <c r="K5" t="str">
        <f>"0530"</f>
        <v>0530</v>
      </c>
      <c r="L5" t="s">
        <v>224</v>
      </c>
      <c r="M5" t="s">
        <v>28</v>
      </c>
      <c r="N5" t="s">
        <v>225</v>
      </c>
      <c r="Q5" t="s">
        <v>30</v>
      </c>
      <c r="R5" t="s">
        <v>31</v>
      </c>
      <c r="T5">
        <v>49145131</v>
      </c>
      <c r="U5">
        <v>86001361</v>
      </c>
      <c r="V5">
        <v>127539</v>
      </c>
    </row>
    <row r="6" spans="1:22" x14ac:dyDescent="0.2">
      <c r="A6" t="str">
        <f>"053035960"</f>
        <v>053035960</v>
      </c>
      <c r="B6" t="s">
        <v>219</v>
      </c>
      <c r="F6">
        <v>100</v>
      </c>
      <c r="G6" t="s">
        <v>26</v>
      </c>
      <c r="H6" s="1">
        <v>45721.874305555553</v>
      </c>
      <c r="I6">
        <v>2423854</v>
      </c>
      <c r="J6">
        <v>6706</v>
      </c>
      <c r="K6" t="str">
        <f>"0229"</f>
        <v>0229</v>
      </c>
      <c r="L6">
        <v>1</v>
      </c>
      <c r="M6" t="s">
        <v>28</v>
      </c>
      <c r="N6" t="s">
        <v>218</v>
      </c>
      <c r="Q6" t="s">
        <v>33</v>
      </c>
      <c r="R6" t="s">
        <v>31</v>
      </c>
      <c r="T6">
        <v>49145173</v>
      </c>
      <c r="U6">
        <v>86001362</v>
      </c>
      <c r="V6">
        <v>127540</v>
      </c>
    </row>
    <row r="7" spans="1:22" x14ac:dyDescent="0.2">
      <c r="A7">
        <v>324488659</v>
      </c>
      <c r="B7" t="s">
        <v>217</v>
      </c>
      <c r="F7">
        <v>100</v>
      </c>
      <c r="G7" t="s">
        <v>26</v>
      </c>
      <c r="H7" s="1">
        <v>45721.875</v>
      </c>
      <c r="I7">
        <v>893486</v>
      </c>
      <c r="J7">
        <v>9184</v>
      </c>
      <c r="K7" t="str">
        <f>"0729"</f>
        <v>0729</v>
      </c>
      <c r="L7">
        <v>1</v>
      </c>
      <c r="M7" t="s">
        <v>28</v>
      </c>
      <c r="N7" t="s">
        <v>218</v>
      </c>
      <c r="Q7" t="s">
        <v>30</v>
      </c>
      <c r="R7" t="s">
        <v>31</v>
      </c>
      <c r="T7">
        <v>49145243</v>
      </c>
      <c r="U7">
        <v>86001363</v>
      </c>
      <c r="V7">
        <v>127541</v>
      </c>
    </row>
    <row r="8" spans="1:22" x14ac:dyDescent="0.2">
      <c r="A8">
        <v>215040429</v>
      </c>
      <c r="B8" t="s">
        <v>207</v>
      </c>
      <c r="D8" t="s">
        <v>208</v>
      </c>
      <c r="F8">
        <v>30</v>
      </c>
      <c r="G8" t="s">
        <v>26</v>
      </c>
      <c r="H8" s="1">
        <v>45721.876388888886</v>
      </c>
      <c r="I8" t="str">
        <f>"0165449"</f>
        <v>0165449</v>
      </c>
      <c r="J8">
        <v>8726</v>
      </c>
      <c r="K8">
        <v>1229</v>
      </c>
      <c r="L8">
        <v>1</v>
      </c>
      <c r="M8" t="s">
        <v>28</v>
      </c>
      <c r="N8" t="s">
        <v>209</v>
      </c>
      <c r="O8" t="s">
        <v>210</v>
      </c>
      <c r="P8">
        <v>1127</v>
      </c>
      <c r="Q8" t="s">
        <v>30</v>
      </c>
      <c r="R8" t="s">
        <v>31</v>
      </c>
      <c r="T8">
        <v>49145321</v>
      </c>
      <c r="U8">
        <v>86001366</v>
      </c>
      <c r="V8">
        <v>127544</v>
      </c>
    </row>
    <row r="9" spans="1:22" x14ac:dyDescent="0.2">
      <c r="A9">
        <v>315991646</v>
      </c>
      <c r="B9" t="s">
        <v>211</v>
      </c>
      <c r="C9" t="s">
        <v>212</v>
      </c>
      <c r="D9" t="s">
        <v>213</v>
      </c>
      <c r="E9" t="s">
        <v>214</v>
      </c>
      <c r="F9">
        <v>50</v>
      </c>
      <c r="G9" t="s">
        <v>26</v>
      </c>
      <c r="H9" s="1">
        <v>45721.876388888886</v>
      </c>
      <c r="I9">
        <v>64916</v>
      </c>
      <c r="J9">
        <v>6826</v>
      </c>
      <c r="K9">
        <v>1130</v>
      </c>
      <c r="L9">
        <v>1</v>
      </c>
      <c r="M9" t="s">
        <v>28</v>
      </c>
      <c r="N9" t="s">
        <v>215</v>
      </c>
      <c r="Q9" t="s">
        <v>30</v>
      </c>
      <c r="R9" t="s">
        <v>31</v>
      </c>
      <c r="T9">
        <v>49145315</v>
      </c>
      <c r="U9">
        <v>86001365</v>
      </c>
      <c r="V9">
        <v>127543</v>
      </c>
    </row>
    <row r="10" spans="1:22" x14ac:dyDescent="0.2">
      <c r="B10" t="s">
        <v>216</v>
      </c>
      <c r="F10">
        <v>50</v>
      </c>
      <c r="G10" t="s">
        <v>26</v>
      </c>
      <c r="H10" s="1">
        <v>45721.876388888886</v>
      </c>
      <c r="I10">
        <v>2436727</v>
      </c>
      <c r="J10">
        <v>7015</v>
      </c>
      <c r="K10">
        <v>1229</v>
      </c>
      <c r="L10">
        <v>1</v>
      </c>
      <c r="M10" t="s">
        <v>28</v>
      </c>
      <c r="N10" t="s">
        <v>111</v>
      </c>
      <c r="Q10" t="s">
        <v>33</v>
      </c>
      <c r="R10" t="s">
        <v>31</v>
      </c>
      <c r="T10">
        <v>49145305</v>
      </c>
      <c r="U10">
        <v>86001364</v>
      </c>
      <c r="V10">
        <v>127542</v>
      </c>
    </row>
    <row r="11" spans="1:22" x14ac:dyDescent="0.2">
      <c r="A11">
        <v>213090434</v>
      </c>
      <c r="B11" t="s">
        <v>201</v>
      </c>
      <c r="C11" t="s">
        <v>202</v>
      </c>
      <c r="D11" t="s">
        <v>203</v>
      </c>
      <c r="E11" t="s">
        <v>204</v>
      </c>
      <c r="F11">
        <v>200</v>
      </c>
      <c r="G11" t="s">
        <v>26</v>
      </c>
      <c r="H11" s="1">
        <v>45721.877083333333</v>
      </c>
      <c r="I11" t="str">
        <f>"0000000"</f>
        <v>0000000</v>
      </c>
      <c r="J11">
        <v>8877</v>
      </c>
      <c r="L11">
        <v>1</v>
      </c>
      <c r="M11" t="s">
        <v>28</v>
      </c>
      <c r="N11" t="s">
        <v>205</v>
      </c>
      <c r="Q11" t="s">
        <v>206</v>
      </c>
      <c r="R11">
        <v>30</v>
      </c>
      <c r="T11">
        <v>49145374</v>
      </c>
      <c r="V11">
        <v>127545</v>
      </c>
    </row>
    <row r="12" spans="1:22" x14ac:dyDescent="0.2">
      <c r="A12">
        <v>213827306</v>
      </c>
      <c r="B12" t="s">
        <v>194</v>
      </c>
      <c r="F12">
        <v>100</v>
      </c>
      <c r="G12" t="s">
        <v>26</v>
      </c>
      <c r="H12" s="1">
        <v>45721.87777777778</v>
      </c>
      <c r="I12">
        <v>2448382</v>
      </c>
      <c r="J12">
        <v>6962</v>
      </c>
      <c r="K12" t="str">
        <f>"0526"</f>
        <v>0526</v>
      </c>
      <c r="L12">
        <v>1</v>
      </c>
      <c r="M12" t="s">
        <v>28</v>
      </c>
      <c r="N12" t="s">
        <v>200</v>
      </c>
      <c r="Q12" t="s">
        <v>33</v>
      </c>
      <c r="R12" t="s">
        <v>31</v>
      </c>
      <c r="T12">
        <v>49145412</v>
      </c>
      <c r="U12">
        <v>86001367</v>
      </c>
      <c r="V12">
        <v>127546</v>
      </c>
    </row>
    <row r="13" spans="1:22" x14ac:dyDescent="0.2">
      <c r="A13">
        <v>327185005</v>
      </c>
      <c r="B13" t="s">
        <v>196</v>
      </c>
      <c r="C13" t="s">
        <v>197</v>
      </c>
      <c r="D13" t="s">
        <v>198</v>
      </c>
      <c r="E13" t="s">
        <v>199</v>
      </c>
      <c r="F13">
        <v>100</v>
      </c>
      <c r="G13" t="s">
        <v>26</v>
      </c>
      <c r="H13" s="1">
        <v>45721.878472222219</v>
      </c>
      <c r="I13">
        <v>717930</v>
      </c>
      <c r="J13">
        <v>7508</v>
      </c>
      <c r="K13" t="str">
        <f>"0428"</f>
        <v>0428</v>
      </c>
      <c r="L13">
        <v>1</v>
      </c>
      <c r="M13" t="s">
        <v>28</v>
      </c>
      <c r="N13" t="s">
        <v>111</v>
      </c>
      <c r="Q13" t="s">
        <v>30</v>
      </c>
      <c r="R13" t="s">
        <v>31</v>
      </c>
      <c r="T13">
        <v>49145429</v>
      </c>
      <c r="U13">
        <v>86001368</v>
      </c>
      <c r="V13">
        <v>127547</v>
      </c>
    </row>
    <row r="14" spans="1:22" x14ac:dyDescent="0.2">
      <c r="A14">
        <v>213827306</v>
      </c>
      <c r="B14" t="s">
        <v>194</v>
      </c>
      <c r="F14">
        <v>50</v>
      </c>
      <c r="G14" t="s">
        <v>26</v>
      </c>
      <c r="H14" s="1">
        <v>45721.879166666666</v>
      </c>
      <c r="I14">
        <v>2454613</v>
      </c>
      <c r="J14">
        <v>6962</v>
      </c>
      <c r="K14" t="str">
        <f>"0526"</f>
        <v>0526</v>
      </c>
      <c r="L14">
        <v>1</v>
      </c>
      <c r="M14" t="s">
        <v>28</v>
      </c>
      <c r="N14" t="s">
        <v>195</v>
      </c>
      <c r="Q14" t="s">
        <v>33</v>
      </c>
      <c r="R14" t="s">
        <v>31</v>
      </c>
      <c r="T14">
        <v>49145462</v>
      </c>
      <c r="U14">
        <v>86001369</v>
      </c>
      <c r="V14">
        <v>127548</v>
      </c>
    </row>
    <row r="15" spans="1:22" x14ac:dyDescent="0.2">
      <c r="A15">
        <v>211373600</v>
      </c>
      <c r="B15" t="s">
        <v>190</v>
      </c>
      <c r="C15" t="s">
        <v>191</v>
      </c>
      <c r="D15" t="s">
        <v>192</v>
      </c>
      <c r="F15">
        <v>100</v>
      </c>
      <c r="G15" t="s">
        <v>26</v>
      </c>
      <c r="H15" s="1">
        <v>45721.880555555559</v>
      </c>
      <c r="I15">
        <v>2467939</v>
      </c>
      <c r="J15">
        <v>6423</v>
      </c>
      <c r="K15">
        <v>1129</v>
      </c>
      <c r="L15">
        <v>1</v>
      </c>
      <c r="M15" t="s">
        <v>28</v>
      </c>
      <c r="N15" t="s">
        <v>134</v>
      </c>
      <c r="Q15" t="s">
        <v>33</v>
      </c>
      <c r="R15" t="s">
        <v>31</v>
      </c>
      <c r="T15">
        <v>49145608</v>
      </c>
      <c r="U15">
        <v>86001371</v>
      </c>
      <c r="V15">
        <v>127550</v>
      </c>
    </row>
    <row r="16" spans="1:22" x14ac:dyDescent="0.2">
      <c r="A16">
        <v>209816602</v>
      </c>
      <c r="B16" t="s">
        <v>193</v>
      </c>
      <c r="F16">
        <v>20</v>
      </c>
      <c r="G16" t="s">
        <v>26</v>
      </c>
      <c r="H16" s="1">
        <v>45721.880555555559</v>
      </c>
      <c r="I16" t="str">
        <f>"0287011"</f>
        <v>0287011</v>
      </c>
      <c r="J16">
        <v>4291</v>
      </c>
      <c r="K16" t="str">
        <f>"0930"</f>
        <v>0930</v>
      </c>
      <c r="L16">
        <v>1</v>
      </c>
      <c r="M16" t="s">
        <v>28</v>
      </c>
      <c r="N16" t="s">
        <v>147</v>
      </c>
      <c r="Q16" t="s">
        <v>30</v>
      </c>
      <c r="R16" t="s">
        <v>31</v>
      </c>
      <c r="T16">
        <v>49145582</v>
      </c>
      <c r="U16">
        <v>86001370</v>
      </c>
      <c r="V16">
        <v>127549</v>
      </c>
    </row>
    <row r="17" spans="1:22" x14ac:dyDescent="0.2">
      <c r="A17">
        <v>335412672</v>
      </c>
      <c r="B17" t="s">
        <v>181</v>
      </c>
      <c r="C17" t="s">
        <v>182</v>
      </c>
      <c r="D17" t="s">
        <v>183</v>
      </c>
      <c r="E17" t="s">
        <v>184</v>
      </c>
      <c r="F17">
        <v>300</v>
      </c>
      <c r="G17" t="s">
        <v>26</v>
      </c>
      <c r="H17" s="1">
        <v>45721.881249999999</v>
      </c>
      <c r="I17">
        <v>75552</v>
      </c>
      <c r="J17">
        <v>8542</v>
      </c>
      <c r="K17" t="str">
        <f>"0926"</f>
        <v>0926</v>
      </c>
      <c r="L17">
        <v>1</v>
      </c>
      <c r="M17" t="s">
        <v>28</v>
      </c>
      <c r="N17" t="s">
        <v>185</v>
      </c>
      <c r="Q17" t="s">
        <v>30</v>
      </c>
      <c r="R17" t="s">
        <v>31</v>
      </c>
      <c r="T17">
        <v>49145657</v>
      </c>
      <c r="U17">
        <v>86001373</v>
      </c>
      <c r="V17">
        <v>127552</v>
      </c>
    </row>
    <row r="18" spans="1:22" x14ac:dyDescent="0.2">
      <c r="A18">
        <v>300778297</v>
      </c>
      <c r="B18" t="s">
        <v>186</v>
      </c>
      <c r="C18" t="s">
        <v>187</v>
      </c>
      <c r="D18" t="s">
        <v>188</v>
      </c>
      <c r="E18" t="s">
        <v>189</v>
      </c>
      <c r="F18">
        <v>18</v>
      </c>
      <c r="G18" t="s">
        <v>26</v>
      </c>
      <c r="H18" s="1">
        <v>45721.881249999999</v>
      </c>
      <c r="I18">
        <v>2468504</v>
      </c>
      <c r="J18">
        <v>6027</v>
      </c>
      <c r="K18" t="str">
        <f>"0131"</f>
        <v>0131</v>
      </c>
      <c r="L18">
        <v>1</v>
      </c>
      <c r="M18" t="s">
        <v>28</v>
      </c>
      <c r="Q18" t="s">
        <v>33</v>
      </c>
      <c r="R18" t="s">
        <v>31</v>
      </c>
      <c r="T18">
        <v>49145614</v>
      </c>
      <c r="U18">
        <v>86001372</v>
      </c>
      <c r="V18">
        <v>127551</v>
      </c>
    </row>
    <row r="19" spans="1:22" x14ac:dyDescent="0.2">
      <c r="A19" t="str">
        <f>"033604802"</f>
        <v>033604802</v>
      </c>
      <c r="B19" t="s">
        <v>174</v>
      </c>
      <c r="C19" t="s">
        <v>175</v>
      </c>
      <c r="D19" t="s">
        <v>176</v>
      </c>
      <c r="E19" t="s">
        <v>177</v>
      </c>
      <c r="F19">
        <v>186.66</v>
      </c>
      <c r="G19" t="s">
        <v>26</v>
      </c>
      <c r="H19" s="1">
        <v>45721.881944444445</v>
      </c>
      <c r="I19">
        <v>2476022</v>
      </c>
      <c r="J19">
        <v>9835</v>
      </c>
      <c r="K19" t="str">
        <f>"0930"</f>
        <v>0930</v>
      </c>
      <c r="L19" t="s">
        <v>178</v>
      </c>
      <c r="M19" t="s">
        <v>28</v>
      </c>
      <c r="N19" t="s">
        <v>179</v>
      </c>
      <c r="Q19" t="s">
        <v>180</v>
      </c>
      <c r="R19" t="s">
        <v>31</v>
      </c>
      <c r="T19">
        <v>49145684</v>
      </c>
      <c r="U19">
        <v>86001374</v>
      </c>
      <c r="V19">
        <v>127553</v>
      </c>
    </row>
    <row r="20" spans="1:22" x14ac:dyDescent="0.2">
      <c r="A20">
        <v>326023033</v>
      </c>
      <c r="B20" t="s">
        <v>167</v>
      </c>
      <c r="C20" t="s">
        <v>168</v>
      </c>
      <c r="D20" t="s">
        <v>169</v>
      </c>
      <c r="E20" t="s">
        <v>170</v>
      </c>
      <c r="F20">
        <v>30</v>
      </c>
      <c r="G20" t="s">
        <v>26</v>
      </c>
      <c r="H20" s="1">
        <v>45721.883333333331</v>
      </c>
      <c r="I20">
        <v>2484327</v>
      </c>
      <c r="J20">
        <v>8411</v>
      </c>
      <c r="K20" t="str">
        <f>"0727"</f>
        <v>0727</v>
      </c>
      <c r="L20">
        <v>1</v>
      </c>
      <c r="M20" t="s">
        <v>28</v>
      </c>
      <c r="N20" t="s">
        <v>171</v>
      </c>
      <c r="Q20" t="s">
        <v>33</v>
      </c>
      <c r="R20" t="s">
        <v>31</v>
      </c>
      <c r="T20">
        <v>49145772</v>
      </c>
      <c r="U20">
        <v>86001376</v>
      </c>
      <c r="V20">
        <v>127555</v>
      </c>
    </row>
    <row r="21" spans="1:22" x14ac:dyDescent="0.2">
      <c r="A21" t="str">
        <f>"038772851"</f>
        <v>038772851</v>
      </c>
      <c r="B21" t="s">
        <v>172</v>
      </c>
      <c r="F21">
        <v>30</v>
      </c>
      <c r="G21" t="s">
        <v>26</v>
      </c>
      <c r="H21" s="1">
        <v>45721.883333333331</v>
      </c>
      <c r="I21" t="str">
        <f>"0363069"</f>
        <v>0363069</v>
      </c>
      <c r="J21">
        <v>1589</v>
      </c>
      <c r="K21" t="str">
        <f>"0229"</f>
        <v>0229</v>
      </c>
      <c r="L21">
        <v>1</v>
      </c>
      <c r="M21" t="s">
        <v>28</v>
      </c>
      <c r="N21" t="s">
        <v>173</v>
      </c>
      <c r="Q21" t="s">
        <v>30</v>
      </c>
      <c r="R21" t="s">
        <v>31</v>
      </c>
      <c r="T21">
        <v>49145765</v>
      </c>
      <c r="U21">
        <v>86001375</v>
      </c>
      <c r="V21">
        <v>127554</v>
      </c>
    </row>
    <row r="22" spans="1:22" x14ac:dyDescent="0.2">
      <c r="B22" t="s">
        <v>153</v>
      </c>
      <c r="D22" t="s">
        <v>154</v>
      </c>
      <c r="E22" t="s">
        <v>155</v>
      </c>
      <c r="F22">
        <v>52</v>
      </c>
      <c r="G22" t="s">
        <v>26</v>
      </c>
      <c r="H22" s="1">
        <v>45721.884027777778</v>
      </c>
      <c r="I22">
        <v>2489587</v>
      </c>
      <c r="J22">
        <v>8661</v>
      </c>
      <c r="K22">
        <v>1230</v>
      </c>
      <c r="L22">
        <v>1</v>
      </c>
      <c r="M22" t="s">
        <v>28</v>
      </c>
      <c r="N22" t="s">
        <v>156</v>
      </c>
      <c r="Q22" t="s">
        <v>33</v>
      </c>
      <c r="R22" t="s">
        <v>31</v>
      </c>
      <c r="T22">
        <v>49145839</v>
      </c>
      <c r="U22">
        <v>86001379</v>
      </c>
      <c r="V22">
        <v>127558</v>
      </c>
    </row>
    <row r="23" spans="1:22" x14ac:dyDescent="0.2">
      <c r="A23">
        <v>329463855</v>
      </c>
      <c r="B23" t="s">
        <v>157</v>
      </c>
      <c r="C23" t="s">
        <v>158</v>
      </c>
      <c r="D23" t="s">
        <v>159</v>
      </c>
      <c r="E23" t="s">
        <v>160</v>
      </c>
      <c r="F23">
        <v>100</v>
      </c>
      <c r="G23" t="s">
        <v>26</v>
      </c>
      <c r="H23" s="1">
        <v>45721.884027777778</v>
      </c>
      <c r="I23">
        <v>2489171</v>
      </c>
      <c r="J23">
        <v>8407</v>
      </c>
      <c r="K23">
        <v>1229</v>
      </c>
      <c r="L23">
        <v>1</v>
      </c>
      <c r="M23" t="s">
        <v>28</v>
      </c>
      <c r="N23" t="s">
        <v>161</v>
      </c>
      <c r="Q23" t="s">
        <v>33</v>
      </c>
      <c r="R23" t="s">
        <v>31</v>
      </c>
      <c r="T23">
        <v>49145826</v>
      </c>
      <c r="U23">
        <v>86001378</v>
      </c>
      <c r="V23">
        <v>127557</v>
      </c>
    </row>
    <row r="24" spans="1:22" x14ac:dyDescent="0.2">
      <c r="A24">
        <v>317931558</v>
      </c>
      <c r="B24" t="s">
        <v>162</v>
      </c>
      <c r="C24" t="s">
        <v>163</v>
      </c>
      <c r="D24" t="s">
        <v>164</v>
      </c>
      <c r="E24" t="s">
        <v>165</v>
      </c>
      <c r="F24">
        <v>100</v>
      </c>
      <c r="G24" t="s">
        <v>26</v>
      </c>
      <c r="H24" s="1">
        <v>45721.884027777778</v>
      </c>
      <c r="I24">
        <v>80618</v>
      </c>
      <c r="J24">
        <v>8244</v>
      </c>
      <c r="K24" t="str">
        <f>"0528"</f>
        <v>0528</v>
      </c>
      <c r="L24">
        <v>1</v>
      </c>
      <c r="M24" t="s">
        <v>28</v>
      </c>
      <c r="N24" t="s">
        <v>166</v>
      </c>
      <c r="Q24" t="s">
        <v>30</v>
      </c>
      <c r="R24" t="s">
        <v>31</v>
      </c>
      <c r="T24">
        <v>49145822</v>
      </c>
      <c r="U24">
        <v>86001377</v>
      </c>
      <c r="V24">
        <v>127556</v>
      </c>
    </row>
    <row r="25" spans="1:22" x14ac:dyDescent="0.2">
      <c r="A25" t="str">
        <f>"038237061"</f>
        <v>038237061</v>
      </c>
      <c r="B25" t="s">
        <v>148</v>
      </c>
      <c r="C25" t="s">
        <v>149</v>
      </c>
      <c r="D25" t="s">
        <v>150</v>
      </c>
      <c r="E25" t="s">
        <v>151</v>
      </c>
      <c r="F25">
        <v>100</v>
      </c>
      <c r="G25" t="s">
        <v>26</v>
      </c>
      <c r="H25" s="1">
        <v>45721.884722222225</v>
      </c>
      <c r="I25">
        <v>2493490</v>
      </c>
      <c r="J25">
        <v>9406</v>
      </c>
      <c r="K25" t="str">
        <f>"0726"</f>
        <v>0726</v>
      </c>
      <c r="L25">
        <v>1</v>
      </c>
      <c r="M25" t="s">
        <v>28</v>
      </c>
      <c r="N25" t="s">
        <v>152</v>
      </c>
      <c r="Q25" t="s">
        <v>33</v>
      </c>
      <c r="R25" t="s">
        <v>31</v>
      </c>
      <c r="T25">
        <v>49145886</v>
      </c>
      <c r="U25">
        <v>86001380</v>
      </c>
      <c r="V25">
        <v>127559</v>
      </c>
    </row>
    <row r="26" spans="1:22" x14ac:dyDescent="0.2">
      <c r="A26">
        <v>310079140</v>
      </c>
      <c r="B26" t="s">
        <v>145</v>
      </c>
      <c r="F26">
        <v>360</v>
      </c>
      <c r="G26" t="s">
        <v>26</v>
      </c>
      <c r="H26" s="1">
        <v>45721.886111111111</v>
      </c>
      <c r="I26">
        <v>2501896</v>
      </c>
      <c r="J26">
        <v>5181</v>
      </c>
      <c r="K26" t="str">
        <f>"0130"</f>
        <v>0130</v>
      </c>
      <c r="L26">
        <v>1</v>
      </c>
      <c r="M26" t="s">
        <v>28</v>
      </c>
      <c r="N26" t="s">
        <v>55</v>
      </c>
      <c r="Q26" t="s">
        <v>33</v>
      </c>
      <c r="R26" t="s">
        <v>31</v>
      </c>
      <c r="T26">
        <v>49145972</v>
      </c>
      <c r="U26">
        <v>86001382</v>
      </c>
      <c r="V26">
        <v>127561</v>
      </c>
    </row>
    <row r="27" spans="1:22" x14ac:dyDescent="0.2">
      <c r="A27">
        <v>326033180</v>
      </c>
      <c r="B27" t="s">
        <v>146</v>
      </c>
      <c r="F27">
        <v>308</v>
      </c>
      <c r="G27" t="s">
        <v>26</v>
      </c>
      <c r="H27" s="1">
        <v>45721.886111111111</v>
      </c>
      <c r="I27">
        <v>2501058</v>
      </c>
      <c r="J27">
        <v>1848</v>
      </c>
      <c r="K27" t="str">
        <f>"0226"</f>
        <v>0226</v>
      </c>
      <c r="L27">
        <v>1</v>
      </c>
      <c r="M27" t="s">
        <v>28</v>
      </c>
      <c r="N27" t="s">
        <v>147</v>
      </c>
      <c r="Q27" t="s">
        <v>33</v>
      </c>
      <c r="R27" t="s">
        <v>31</v>
      </c>
      <c r="T27">
        <v>49145966</v>
      </c>
      <c r="U27">
        <v>86001381</v>
      </c>
      <c r="V27">
        <v>127560</v>
      </c>
    </row>
    <row r="28" spans="1:22" x14ac:dyDescent="0.2">
      <c r="A28">
        <v>329467963</v>
      </c>
      <c r="B28" t="s">
        <v>141</v>
      </c>
      <c r="F28">
        <v>100</v>
      </c>
      <c r="G28" t="s">
        <v>26</v>
      </c>
      <c r="H28" s="1">
        <v>45721.886805555558</v>
      </c>
      <c r="I28" t="str">
        <f>"0463067"</f>
        <v>0463067</v>
      </c>
      <c r="J28">
        <v>3267</v>
      </c>
      <c r="K28" t="str">
        <f>"0330"</f>
        <v>0330</v>
      </c>
      <c r="L28">
        <v>1</v>
      </c>
      <c r="M28" t="s">
        <v>28</v>
      </c>
      <c r="N28" t="s">
        <v>141</v>
      </c>
      <c r="Q28" t="s">
        <v>30</v>
      </c>
      <c r="R28" t="s">
        <v>31</v>
      </c>
      <c r="T28">
        <v>49146028</v>
      </c>
      <c r="U28">
        <v>86001384</v>
      </c>
      <c r="V28">
        <v>127563</v>
      </c>
    </row>
    <row r="29" spans="1:22" x14ac:dyDescent="0.2">
      <c r="B29" t="s">
        <v>142</v>
      </c>
      <c r="E29" t="s">
        <v>143</v>
      </c>
      <c r="F29">
        <v>722</v>
      </c>
      <c r="G29" t="s">
        <v>26</v>
      </c>
      <c r="H29" s="1">
        <v>45721.886805555558</v>
      </c>
      <c r="I29">
        <v>328733</v>
      </c>
      <c r="J29">
        <v>8842</v>
      </c>
      <c r="K29" t="str">
        <f>"0725"</f>
        <v>0725</v>
      </c>
      <c r="L29">
        <v>1</v>
      </c>
      <c r="M29" t="s">
        <v>28</v>
      </c>
      <c r="N29" t="s">
        <v>144</v>
      </c>
      <c r="Q29" t="s">
        <v>30</v>
      </c>
      <c r="R29" t="s">
        <v>31</v>
      </c>
      <c r="T29">
        <v>49145995</v>
      </c>
      <c r="U29">
        <v>86001383</v>
      </c>
      <c r="V29">
        <v>127562</v>
      </c>
    </row>
    <row r="30" spans="1:22" x14ac:dyDescent="0.2">
      <c r="A30">
        <v>317931574</v>
      </c>
      <c r="B30" t="s">
        <v>139</v>
      </c>
      <c r="F30">
        <v>250</v>
      </c>
      <c r="G30" t="s">
        <v>26</v>
      </c>
      <c r="H30" s="1">
        <v>45721.887499999997</v>
      </c>
      <c r="I30" t="str">
        <f>"0466672"</f>
        <v>0466672</v>
      </c>
      <c r="J30">
        <v>6675</v>
      </c>
      <c r="K30" t="str">
        <f>"0229"</f>
        <v>0229</v>
      </c>
      <c r="L30">
        <v>1</v>
      </c>
      <c r="M30" t="s">
        <v>28</v>
      </c>
      <c r="N30" t="s">
        <v>140</v>
      </c>
      <c r="Q30" t="s">
        <v>30</v>
      </c>
      <c r="R30" t="s">
        <v>31</v>
      </c>
      <c r="T30">
        <v>49146038</v>
      </c>
      <c r="U30">
        <v>86001385</v>
      </c>
      <c r="V30">
        <v>127564</v>
      </c>
    </row>
    <row r="31" spans="1:22" x14ac:dyDescent="0.2">
      <c r="A31">
        <v>211739073</v>
      </c>
      <c r="B31" t="s">
        <v>137</v>
      </c>
      <c r="F31">
        <v>50</v>
      </c>
      <c r="G31" t="s">
        <v>26</v>
      </c>
      <c r="H31" s="1">
        <v>45721.888194444444</v>
      </c>
      <c r="I31">
        <v>2513265</v>
      </c>
      <c r="J31">
        <v>7385</v>
      </c>
      <c r="K31">
        <v>1126</v>
      </c>
      <c r="L31">
        <v>1</v>
      </c>
      <c r="M31" t="s">
        <v>28</v>
      </c>
      <c r="N31" t="s">
        <v>138</v>
      </c>
      <c r="Q31" t="s">
        <v>33</v>
      </c>
      <c r="R31" t="s">
        <v>31</v>
      </c>
      <c r="T31">
        <v>49146105</v>
      </c>
      <c r="U31">
        <v>86001386</v>
      </c>
      <c r="V31">
        <v>127565</v>
      </c>
    </row>
    <row r="32" spans="1:22" x14ac:dyDescent="0.2">
      <c r="A32">
        <v>211591789</v>
      </c>
      <c r="B32" t="s">
        <v>131</v>
      </c>
      <c r="C32" t="s">
        <v>132</v>
      </c>
      <c r="D32" t="s">
        <v>133</v>
      </c>
      <c r="F32">
        <v>100</v>
      </c>
      <c r="G32" t="s">
        <v>26</v>
      </c>
      <c r="H32" s="1">
        <v>45721.888888888891</v>
      </c>
      <c r="I32">
        <v>2517757</v>
      </c>
      <c r="J32">
        <v>2159</v>
      </c>
      <c r="K32" t="str">
        <f>"0628"</f>
        <v>0628</v>
      </c>
      <c r="L32">
        <v>1</v>
      </c>
      <c r="M32" t="s">
        <v>28</v>
      </c>
      <c r="N32" t="s">
        <v>134</v>
      </c>
      <c r="Q32" t="s">
        <v>33</v>
      </c>
      <c r="R32" t="s">
        <v>31</v>
      </c>
      <c r="T32">
        <v>49146156</v>
      </c>
      <c r="U32">
        <v>86001389</v>
      </c>
      <c r="V32">
        <v>127567</v>
      </c>
    </row>
    <row r="33" spans="1:22" x14ac:dyDescent="0.2">
      <c r="A33">
        <v>314442245</v>
      </c>
      <c r="B33" t="s">
        <v>135</v>
      </c>
      <c r="F33">
        <v>20</v>
      </c>
      <c r="G33" t="s">
        <v>26</v>
      </c>
      <c r="H33" s="1">
        <v>45721.888888888891</v>
      </c>
      <c r="I33" t="str">
        <f>"0516518"</f>
        <v>0516518</v>
      </c>
      <c r="J33">
        <v>1628</v>
      </c>
      <c r="K33" t="str">
        <f>"0926"</f>
        <v>0926</v>
      </c>
      <c r="L33">
        <v>1</v>
      </c>
      <c r="M33" t="s">
        <v>28</v>
      </c>
      <c r="N33" t="s">
        <v>55</v>
      </c>
      <c r="Q33" t="s">
        <v>30</v>
      </c>
      <c r="R33" t="s">
        <v>31</v>
      </c>
      <c r="T33">
        <v>49146154</v>
      </c>
      <c r="U33">
        <v>86001388</v>
      </c>
      <c r="V33">
        <v>127566</v>
      </c>
    </row>
    <row r="34" spans="1:22" x14ac:dyDescent="0.2">
      <c r="B34" t="str">
        <f>"0583213122"</f>
        <v>0583213122</v>
      </c>
      <c r="D34" t="s">
        <v>136</v>
      </c>
      <c r="F34">
        <v>300</v>
      </c>
      <c r="G34" t="s">
        <v>26</v>
      </c>
      <c r="H34" s="1">
        <v>45721.888888888891</v>
      </c>
      <c r="I34" t="str">
        <f>"0515973"</f>
        <v>0515973</v>
      </c>
      <c r="J34">
        <v>6607</v>
      </c>
      <c r="K34" t="str">
        <f>"0527"</f>
        <v>0527</v>
      </c>
      <c r="L34">
        <v>1</v>
      </c>
      <c r="N34" t="s">
        <v>97</v>
      </c>
      <c r="Q34" t="s">
        <v>33</v>
      </c>
      <c r="R34" t="s">
        <v>31</v>
      </c>
      <c r="T34">
        <v>49146152</v>
      </c>
      <c r="U34">
        <v>86001387</v>
      </c>
    </row>
    <row r="35" spans="1:22" x14ac:dyDescent="0.2">
      <c r="B35" t="s">
        <v>129</v>
      </c>
      <c r="E35" t="s">
        <v>130</v>
      </c>
      <c r="F35">
        <v>30</v>
      </c>
      <c r="G35" t="s">
        <v>26</v>
      </c>
      <c r="H35" s="1">
        <v>45721.88958333333</v>
      </c>
      <c r="I35">
        <v>90843</v>
      </c>
      <c r="J35">
        <v>7721</v>
      </c>
      <c r="K35" t="str">
        <f>"0530"</f>
        <v>0530</v>
      </c>
      <c r="L35">
        <v>1</v>
      </c>
      <c r="M35" t="s">
        <v>28</v>
      </c>
      <c r="Q35" t="s">
        <v>30</v>
      </c>
      <c r="R35" t="s">
        <v>31</v>
      </c>
      <c r="T35">
        <v>49146187</v>
      </c>
      <c r="U35">
        <v>86001390</v>
      </c>
      <c r="V35">
        <v>127568</v>
      </c>
    </row>
    <row r="36" spans="1:22" x14ac:dyDescent="0.2">
      <c r="B36" t="s">
        <v>124</v>
      </c>
      <c r="C36" t="s">
        <v>125</v>
      </c>
      <c r="D36" t="s">
        <v>126</v>
      </c>
      <c r="E36" t="s">
        <v>127</v>
      </c>
      <c r="F36">
        <v>80</v>
      </c>
      <c r="G36" t="s">
        <v>26</v>
      </c>
      <c r="H36" s="1">
        <v>45721.890277777777</v>
      </c>
      <c r="I36">
        <v>2522801</v>
      </c>
      <c r="J36">
        <v>9486</v>
      </c>
      <c r="K36">
        <v>1030</v>
      </c>
      <c r="L36">
        <v>1</v>
      </c>
      <c r="M36" t="s">
        <v>28</v>
      </c>
      <c r="N36" t="s">
        <v>128</v>
      </c>
      <c r="Q36" t="s">
        <v>33</v>
      </c>
      <c r="R36" t="s">
        <v>31</v>
      </c>
      <c r="T36">
        <v>49146216</v>
      </c>
      <c r="U36">
        <v>86001391</v>
      </c>
      <c r="V36">
        <v>127569</v>
      </c>
    </row>
    <row r="37" spans="1:22" x14ac:dyDescent="0.2">
      <c r="A37">
        <v>345204176</v>
      </c>
      <c r="B37" t="s">
        <v>114</v>
      </c>
      <c r="C37" t="s">
        <v>115</v>
      </c>
      <c r="D37" t="s">
        <v>116</v>
      </c>
      <c r="E37" t="s">
        <v>117</v>
      </c>
      <c r="F37">
        <v>100</v>
      </c>
      <c r="G37" t="s">
        <v>26</v>
      </c>
      <c r="H37" s="1">
        <v>45721.890972222223</v>
      </c>
      <c r="I37">
        <v>93571</v>
      </c>
      <c r="J37">
        <v>4728</v>
      </c>
      <c r="K37" t="str">
        <f>"0129"</f>
        <v>0129</v>
      </c>
      <c r="L37">
        <v>1</v>
      </c>
      <c r="M37" t="s">
        <v>28</v>
      </c>
      <c r="N37" t="s">
        <v>118</v>
      </c>
      <c r="Q37" t="s">
        <v>30</v>
      </c>
      <c r="R37" t="s">
        <v>31</v>
      </c>
      <c r="T37">
        <v>49146281</v>
      </c>
      <c r="U37">
        <v>86001393</v>
      </c>
      <c r="V37">
        <v>127571</v>
      </c>
    </row>
    <row r="38" spans="1:22" x14ac:dyDescent="0.2">
      <c r="A38">
        <v>212050504</v>
      </c>
      <c r="B38" t="s">
        <v>119</v>
      </c>
      <c r="C38" t="s">
        <v>120</v>
      </c>
      <c r="D38" t="s">
        <v>121</v>
      </c>
      <c r="E38" t="s">
        <v>122</v>
      </c>
      <c r="F38">
        <v>140</v>
      </c>
      <c r="G38" t="s">
        <v>26</v>
      </c>
      <c r="H38" s="1">
        <v>45721.890972222223</v>
      </c>
      <c r="I38" t="str">
        <f>"0563270"</f>
        <v>0563270</v>
      </c>
      <c r="J38">
        <v>4683</v>
      </c>
      <c r="K38" t="str">
        <f>"0727"</f>
        <v>0727</v>
      </c>
      <c r="L38">
        <v>1</v>
      </c>
      <c r="M38" t="s">
        <v>28</v>
      </c>
      <c r="N38" t="s">
        <v>123</v>
      </c>
      <c r="Q38" t="s">
        <v>30</v>
      </c>
      <c r="R38" t="s">
        <v>31</v>
      </c>
      <c r="T38">
        <v>49146271</v>
      </c>
      <c r="U38">
        <v>86001392</v>
      </c>
      <c r="V38">
        <v>127570</v>
      </c>
    </row>
    <row r="39" spans="1:22" x14ac:dyDescent="0.2">
      <c r="A39">
        <v>342490331</v>
      </c>
      <c r="B39" t="s">
        <v>112</v>
      </c>
      <c r="F39">
        <v>60</v>
      </c>
      <c r="G39" t="s">
        <v>26</v>
      </c>
      <c r="H39" s="1">
        <v>45721.892361111109</v>
      </c>
      <c r="I39">
        <v>96503</v>
      </c>
      <c r="J39">
        <v>1142</v>
      </c>
      <c r="K39" t="str">
        <f>"0129"</f>
        <v>0129</v>
      </c>
      <c r="L39">
        <v>1</v>
      </c>
      <c r="M39" t="s">
        <v>28</v>
      </c>
      <c r="N39" t="s">
        <v>113</v>
      </c>
      <c r="Q39" t="s">
        <v>30</v>
      </c>
      <c r="R39" t="s">
        <v>31</v>
      </c>
      <c r="T39">
        <v>49146387</v>
      </c>
      <c r="U39">
        <v>86001394</v>
      </c>
      <c r="V39">
        <v>127572</v>
      </c>
    </row>
    <row r="40" spans="1:22" x14ac:dyDescent="0.2">
      <c r="A40">
        <v>301904082</v>
      </c>
      <c r="B40" t="s">
        <v>107</v>
      </c>
      <c r="C40" t="s">
        <v>108</v>
      </c>
      <c r="D40" t="s">
        <v>109</v>
      </c>
      <c r="E40" t="s">
        <v>110</v>
      </c>
      <c r="F40">
        <v>380</v>
      </c>
      <c r="G40" t="s">
        <v>26</v>
      </c>
      <c r="H40" s="1">
        <v>45721.893055555556</v>
      </c>
      <c r="I40" t="str">
        <f>"0616789"</f>
        <v>0616789</v>
      </c>
      <c r="J40" t="str">
        <f>"0466"</f>
        <v>0466</v>
      </c>
      <c r="K40" t="str">
        <f>"0229"</f>
        <v>0229</v>
      </c>
      <c r="L40">
        <v>1</v>
      </c>
      <c r="M40" t="s">
        <v>28</v>
      </c>
      <c r="N40" t="s">
        <v>111</v>
      </c>
      <c r="Q40" t="s">
        <v>30</v>
      </c>
      <c r="R40" t="s">
        <v>31</v>
      </c>
      <c r="T40">
        <v>49146406</v>
      </c>
      <c r="U40">
        <v>86001395</v>
      </c>
      <c r="V40">
        <v>127573</v>
      </c>
    </row>
    <row r="41" spans="1:22" x14ac:dyDescent="0.2">
      <c r="A41">
        <v>327031506</v>
      </c>
      <c r="B41" t="s">
        <v>106</v>
      </c>
      <c r="F41">
        <v>100</v>
      </c>
      <c r="G41" t="s">
        <v>26</v>
      </c>
      <c r="H41" s="1">
        <v>45721.893750000003</v>
      </c>
      <c r="I41">
        <v>98547</v>
      </c>
      <c r="J41">
        <v>7742</v>
      </c>
      <c r="K41" t="str">
        <f>"0827"</f>
        <v>0827</v>
      </c>
      <c r="L41">
        <v>1</v>
      </c>
      <c r="M41" t="s">
        <v>28</v>
      </c>
      <c r="N41" t="s">
        <v>106</v>
      </c>
      <c r="Q41" t="s">
        <v>30</v>
      </c>
      <c r="R41" t="s">
        <v>31</v>
      </c>
      <c r="T41">
        <v>49146458</v>
      </c>
      <c r="U41">
        <v>86001396</v>
      </c>
      <c r="V41">
        <v>127574</v>
      </c>
    </row>
    <row r="42" spans="1:22" x14ac:dyDescent="0.2">
      <c r="A42">
        <v>327130100</v>
      </c>
      <c r="B42" t="s">
        <v>100</v>
      </c>
      <c r="C42" t="s">
        <v>101</v>
      </c>
      <c r="D42" t="s">
        <v>102</v>
      </c>
      <c r="E42" t="s">
        <v>103</v>
      </c>
      <c r="F42">
        <v>200</v>
      </c>
      <c r="G42" t="s">
        <v>26</v>
      </c>
      <c r="H42" s="1">
        <v>45721.895833333336</v>
      </c>
      <c r="I42" t="s">
        <v>104</v>
      </c>
      <c r="J42">
        <v>6313</v>
      </c>
      <c r="K42">
        <v>1228</v>
      </c>
      <c r="L42">
        <v>1</v>
      </c>
      <c r="M42" t="s">
        <v>28</v>
      </c>
      <c r="N42" t="s">
        <v>105</v>
      </c>
      <c r="Q42" t="s">
        <v>30</v>
      </c>
      <c r="R42" t="s">
        <v>31</v>
      </c>
      <c r="T42">
        <v>49146557</v>
      </c>
      <c r="U42">
        <v>86001397</v>
      </c>
      <c r="V42">
        <v>127575</v>
      </c>
    </row>
    <row r="43" spans="1:22" x14ac:dyDescent="0.2">
      <c r="A43" t="str">
        <f>"023739279"</f>
        <v>023739279</v>
      </c>
      <c r="B43" t="s">
        <v>92</v>
      </c>
      <c r="C43" t="s">
        <v>93</v>
      </c>
      <c r="E43" t="s">
        <v>94</v>
      </c>
      <c r="F43">
        <v>180</v>
      </c>
      <c r="G43" t="s">
        <v>26</v>
      </c>
      <c r="H43" s="1">
        <v>45721.897222222222</v>
      </c>
      <c r="I43" t="str">
        <f>"0720029"</f>
        <v>0720029</v>
      </c>
      <c r="J43">
        <v>4819</v>
      </c>
      <c r="K43">
        <v>1229</v>
      </c>
      <c r="L43">
        <v>1</v>
      </c>
      <c r="M43" t="s">
        <v>28</v>
      </c>
      <c r="N43" t="s">
        <v>95</v>
      </c>
      <c r="Q43" t="s">
        <v>30</v>
      </c>
      <c r="R43" t="s">
        <v>31</v>
      </c>
      <c r="T43">
        <v>49146664</v>
      </c>
      <c r="U43">
        <v>86001400</v>
      </c>
      <c r="V43">
        <v>127577</v>
      </c>
    </row>
    <row r="44" spans="1:22" x14ac:dyDescent="0.2">
      <c r="B44" t="str">
        <f>"0548450107"</f>
        <v>0548450107</v>
      </c>
      <c r="D44" t="s">
        <v>96</v>
      </c>
      <c r="F44">
        <v>20</v>
      </c>
      <c r="G44" t="s">
        <v>26</v>
      </c>
      <c r="H44" s="1">
        <v>45721.897222222222</v>
      </c>
      <c r="I44">
        <v>2563486</v>
      </c>
      <c r="J44" t="str">
        <f>"0857"</f>
        <v>0857</v>
      </c>
      <c r="K44" t="str">
        <f>"0830"</f>
        <v>0830</v>
      </c>
      <c r="L44">
        <v>1</v>
      </c>
      <c r="N44" t="s">
        <v>97</v>
      </c>
      <c r="Q44" t="s">
        <v>33</v>
      </c>
      <c r="R44" t="s">
        <v>31</v>
      </c>
      <c r="T44">
        <v>49146661</v>
      </c>
      <c r="U44">
        <v>86001399</v>
      </c>
    </row>
    <row r="45" spans="1:22" x14ac:dyDescent="0.2">
      <c r="A45">
        <v>312514169</v>
      </c>
      <c r="B45" t="s">
        <v>98</v>
      </c>
      <c r="F45">
        <v>50</v>
      </c>
      <c r="G45" t="s">
        <v>26</v>
      </c>
      <c r="H45" s="1">
        <v>45721.897222222222</v>
      </c>
      <c r="I45">
        <v>2561657</v>
      </c>
      <c r="J45">
        <v>1111</v>
      </c>
      <c r="K45" t="str">
        <f>"0426"</f>
        <v>0426</v>
      </c>
      <c r="L45">
        <v>1</v>
      </c>
      <c r="M45" t="s">
        <v>28</v>
      </c>
      <c r="N45" t="s">
        <v>99</v>
      </c>
      <c r="Q45" t="s">
        <v>33</v>
      </c>
      <c r="R45" t="s">
        <v>31</v>
      </c>
      <c r="T45">
        <v>49146642</v>
      </c>
      <c r="U45">
        <v>86001398</v>
      </c>
      <c r="V45">
        <v>127576</v>
      </c>
    </row>
    <row r="46" spans="1:22" x14ac:dyDescent="0.2">
      <c r="A46" t="str">
        <f>"033993874"</f>
        <v>033993874</v>
      </c>
      <c r="B46" t="s">
        <v>91</v>
      </c>
      <c r="F46">
        <v>100</v>
      </c>
      <c r="G46" t="s">
        <v>26</v>
      </c>
      <c r="H46" s="1">
        <v>45721.897916666669</v>
      </c>
      <c r="I46" t="str">
        <f>"0733733"</f>
        <v>0733733</v>
      </c>
      <c r="J46">
        <v>8388</v>
      </c>
      <c r="K46" t="str">
        <f>"0226"</f>
        <v>0226</v>
      </c>
      <c r="L46">
        <v>1</v>
      </c>
      <c r="M46" t="s">
        <v>28</v>
      </c>
      <c r="N46" t="s">
        <v>73</v>
      </c>
      <c r="Q46" t="s">
        <v>30</v>
      </c>
      <c r="R46" t="s">
        <v>31</v>
      </c>
      <c r="T46">
        <v>49146692</v>
      </c>
      <c r="U46">
        <v>86001401</v>
      </c>
      <c r="V46">
        <v>127578</v>
      </c>
    </row>
    <row r="47" spans="1:22" x14ac:dyDescent="0.2">
      <c r="A47" t="str">
        <f>"033414426"</f>
        <v>033414426</v>
      </c>
      <c r="B47" t="s">
        <v>87</v>
      </c>
      <c r="C47" t="s">
        <v>88</v>
      </c>
      <c r="D47" t="s">
        <v>89</v>
      </c>
      <c r="E47" t="s">
        <v>90</v>
      </c>
      <c r="F47">
        <v>25</v>
      </c>
      <c r="G47" t="s">
        <v>26</v>
      </c>
      <c r="H47" s="1">
        <v>45721.898611111108</v>
      </c>
      <c r="I47">
        <v>2571786</v>
      </c>
      <c r="J47">
        <v>3996</v>
      </c>
      <c r="K47" t="str">
        <f>"0329"</f>
        <v>0329</v>
      </c>
      <c r="L47">
        <v>1</v>
      </c>
      <c r="M47" t="s">
        <v>28</v>
      </c>
      <c r="N47" t="s">
        <v>80</v>
      </c>
      <c r="Q47" t="s">
        <v>30</v>
      </c>
      <c r="R47" t="s">
        <v>31</v>
      </c>
      <c r="T47">
        <v>49146760</v>
      </c>
      <c r="U47">
        <v>86001402</v>
      </c>
      <c r="V47">
        <v>127579</v>
      </c>
    </row>
    <row r="48" spans="1:22" x14ac:dyDescent="0.2">
      <c r="A48">
        <v>328182860</v>
      </c>
      <c r="B48" t="s">
        <v>37</v>
      </c>
      <c r="F48">
        <v>300</v>
      </c>
      <c r="G48" t="s">
        <v>26</v>
      </c>
      <c r="H48" s="1">
        <v>45721.899305555555</v>
      </c>
      <c r="I48">
        <v>2576533</v>
      </c>
      <c r="J48">
        <v>1315</v>
      </c>
      <c r="K48" t="str">
        <f>"0830"</f>
        <v>0830</v>
      </c>
      <c r="L48">
        <v>1</v>
      </c>
      <c r="M48" t="s">
        <v>28</v>
      </c>
      <c r="N48" t="s">
        <v>86</v>
      </c>
      <c r="Q48" t="s">
        <v>33</v>
      </c>
      <c r="R48" t="s">
        <v>31</v>
      </c>
      <c r="T48">
        <v>49146812</v>
      </c>
      <c r="U48">
        <v>86001403</v>
      </c>
      <c r="V48">
        <v>127580</v>
      </c>
    </row>
    <row r="49" spans="1:22" x14ac:dyDescent="0.2">
      <c r="A49" t="str">
        <f>"066501784"</f>
        <v>066501784</v>
      </c>
      <c r="B49" t="s">
        <v>76</v>
      </c>
      <c r="C49" t="s">
        <v>77</v>
      </c>
      <c r="D49" t="s">
        <v>78</v>
      </c>
      <c r="E49" t="s">
        <v>79</v>
      </c>
      <c r="F49">
        <v>40</v>
      </c>
      <c r="G49" t="s">
        <v>26</v>
      </c>
      <c r="H49" s="1">
        <v>45721.9</v>
      </c>
      <c r="I49">
        <v>10259</v>
      </c>
      <c r="J49">
        <v>9724</v>
      </c>
      <c r="K49" t="str">
        <f>"0329"</f>
        <v>0329</v>
      </c>
      <c r="L49">
        <v>1</v>
      </c>
      <c r="M49" t="s">
        <v>28</v>
      </c>
      <c r="N49" t="s">
        <v>80</v>
      </c>
      <c r="Q49" t="s">
        <v>30</v>
      </c>
      <c r="R49" t="s">
        <v>31</v>
      </c>
      <c r="T49">
        <v>49146840</v>
      </c>
      <c r="U49">
        <v>86001405</v>
      </c>
      <c r="V49">
        <v>127582</v>
      </c>
    </row>
    <row r="50" spans="1:22" x14ac:dyDescent="0.2">
      <c r="B50" t="s">
        <v>81</v>
      </c>
      <c r="C50" t="s">
        <v>82</v>
      </c>
      <c r="E50" t="s">
        <v>83</v>
      </c>
      <c r="F50">
        <v>100</v>
      </c>
      <c r="G50" t="s">
        <v>26</v>
      </c>
      <c r="H50" s="1">
        <v>45721.9</v>
      </c>
      <c r="I50" t="s">
        <v>84</v>
      </c>
      <c r="J50">
        <v>3804</v>
      </c>
      <c r="K50" t="str">
        <f>"0829"</f>
        <v>0829</v>
      </c>
      <c r="L50">
        <v>1</v>
      </c>
      <c r="M50" t="s">
        <v>28</v>
      </c>
      <c r="N50" t="s">
        <v>85</v>
      </c>
      <c r="Q50" t="s">
        <v>30</v>
      </c>
      <c r="R50" t="s">
        <v>31</v>
      </c>
      <c r="T50">
        <v>49146829</v>
      </c>
      <c r="U50">
        <v>86001404</v>
      </c>
      <c r="V50">
        <v>127581</v>
      </c>
    </row>
    <row r="51" spans="1:22" x14ac:dyDescent="0.2">
      <c r="A51" t="str">
        <f>"039568548"</f>
        <v>039568548</v>
      </c>
      <c r="B51" t="s">
        <v>71</v>
      </c>
      <c r="E51" t="s">
        <v>72</v>
      </c>
      <c r="F51">
        <v>20</v>
      </c>
      <c r="G51" t="s">
        <v>26</v>
      </c>
      <c r="H51" s="1">
        <v>45721.900694444441</v>
      </c>
      <c r="I51">
        <v>11222</v>
      </c>
      <c r="J51">
        <v>9624</v>
      </c>
      <c r="K51" t="str">
        <f>"0526"</f>
        <v>0526</v>
      </c>
      <c r="L51">
        <v>1</v>
      </c>
      <c r="M51" t="s">
        <v>28</v>
      </c>
      <c r="N51" t="s">
        <v>73</v>
      </c>
      <c r="Q51" t="s">
        <v>30</v>
      </c>
      <c r="R51" t="s">
        <v>31</v>
      </c>
      <c r="T51">
        <v>49146871</v>
      </c>
      <c r="U51">
        <v>86001407</v>
      </c>
      <c r="V51">
        <v>127584</v>
      </c>
    </row>
    <row r="52" spans="1:22" x14ac:dyDescent="0.2">
      <c r="A52">
        <v>214821795</v>
      </c>
      <c r="B52" t="s">
        <v>74</v>
      </c>
      <c r="F52">
        <v>50</v>
      </c>
      <c r="G52" t="s">
        <v>26</v>
      </c>
      <c r="H52" s="1">
        <v>45721.900694444441</v>
      </c>
      <c r="I52" t="str">
        <f>"0801480"</f>
        <v>0801480</v>
      </c>
      <c r="J52">
        <v>8764</v>
      </c>
      <c r="K52" t="str">
        <f>"0730"</f>
        <v>0730</v>
      </c>
      <c r="L52">
        <v>1</v>
      </c>
      <c r="M52" t="s">
        <v>28</v>
      </c>
      <c r="N52" t="s">
        <v>75</v>
      </c>
      <c r="Q52" t="s">
        <v>30</v>
      </c>
      <c r="R52" t="s">
        <v>31</v>
      </c>
      <c r="T52">
        <v>49146854</v>
      </c>
      <c r="U52">
        <v>86001406</v>
      </c>
      <c r="V52">
        <v>127583</v>
      </c>
    </row>
    <row r="53" spans="1:22" x14ac:dyDescent="0.2">
      <c r="A53">
        <v>215866005</v>
      </c>
      <c r="B53" t="s">
        <v>69</v>
      </c>
      <c r="F53">
        <v>50</v>
      </c>
      <c r="G53" t="s">
        <v>26</v>
      </c>
      <c r="H53" s="1">
        <v>45721.901388888888</v>
      </c>
      <c r="I53">
        <v>2585423</v>
      </c>
      <c r="J53">
        <v>3317</v>
      </c>
      <c r="K53">
        <v>1230</v>
      </c>
      <c r="L53">
        <v>1</v>
      </c>
      <c r="M53" t="s">
        <v>28</v>
      </c>
      <c r="N53" t="s">
        <v>70</v>
      </c>
      <c r="Q53" t="s">
        <v>30</v>
      </c>
      <c r="R53" t="s">
        <v>31</v>
      </c>
      <c r="T53">
        <v>49146911</v>
      </c>
      <c r="U53">
        <v>86001408</v>
      </c>
      <c r="V53">
        <v>127585</v>
      </c>
    </row>
    <row r="54" spans="1:22" x14ac:dyDescent="0.2">
      <c r="B54" t="s">
        <v>66</v>
      </c>
      <c r="F54">
        <v>180.5</v>
      </c>
      <c r="G54" t="s">
        <v>26</v>
      </c>
      <c r="H54" s="1">
        <v>45721.902083333334</v>
      </c>
      <c r="I54" t="s">
        <v>67</v>
      </c>
      <c r="J54" t="str">
        <f>"0392"</f>
        <v>0392</v>
      </c>
      <c r="K54" t="str">
        <f>"0425"</f>
        <v>0425</v>
      </c>
      <c r="L54">
        <v>1</v>
      </c>
      <c r="M54" t="s">
        <v>28</v>
      </c>
      <c r="N54" t="s">
        <v>68</v>
      </c>
      <c r="Q54" t="s">
        <v>30</v>
      </c>
      <c r="R54" t="s">
        <v>31</v>
      </c>
      <c r="T54">
        <v>49146941</v>
      </c>
      <c r="U54">
        <v>86001409</v>
      </c>
      <c r="V54">
        <v>127586</v>
      </c>
    </row>
    <row r="55" spans="1:22" x14ac:dyDescent="0.2">
      <c r="A55">
        <v>211729397</v>
      </c>
      <c r="B55" t="s">
        <v>60</v>
      </c>
      <c r="C55" t="s">
        <v>61</v>
      </c>
      <c r="D55" t="s">
        <v>62</v>
      </c>
      <c r="E55" t="s">
        <v>63</v>
      </c>
      <c r="F55">
        <v>100</v>
      </c>
      <c r="G55" t="s">
        <v>26</v>
      </c>
      <c r="H55" s="1">
        <v>45721.902777777781</v>
      </c>
      <c r="I55">
        <v>2592375</v>
      </c>
      <c r="J55">
        <v>7313</v>
      </c>
      <c r="K55">
        <v>1127</v>
      </c>
      <c r="L55">
        <v>1</v>
      </c>
      <c r="M55" t="s">
        <v>28</v>
      </c>
      <c r="N55" t="s">
        <v>64</v>
      </c>
      <c r="Q55" t="s">
        <v>33</v>
      </c>
      <c r="R55" t="s">
        <v>31</v>
      </c>
      <c r="T55">
        <v>49147004</v>
      </c>
      <c r="U55">
        <v>86001411</v>
      </c>
      <c r="V55">
        <v>127588</v>
      </c>
    </row>
    <row r="56" spans="1:22" x14ac:dyDescent="0.2">
      <c r="A56">
        <v>398887222</v>
      </c>
      <c r="B56" t="s">
        <v>65</v>
      </c>
      <c r="F56">
        <v>80</v>
      </c>
      <c r="G56" t="s">
        <v>26</v>
      </c>
      <c r="H56" s="1">
        <v>45721.902777777781</v>
      </c>
      <c r="I56" t="str">
        <f>"0851873"</f>
        <v>0851873</v>
      </c>
      <c r="J56">
        <v>3739</v>
      </c>
      <c r="K56" t="str">
        <f>"0830"</f>
        <v>0830</v>
      </c>
      <c r="L56">
        <v>1</v>
      </c>
      <c r="M56" t="s">
        <v>28</v>
      </c>
      <c r="N56" t="s">
        <v>57</v>
      </c>
      <c r="Q56" t="s">
        <v>30</v>
      </c>
      <c r="R56" t="s">
        <v>31</v>
      </c>
      <c r="T56">
        <v>49146997</v>
      </c>
      <c r="U56">
        <v>86001410</v>
      </c>
      <c r="V56">
        <v>127587</v>
      </c>
    </row>
    <row r="57" spans="1:22" x14ac:dyDescent="0.2">
      <c r="A57">
        <v>203976881</v>
      </c>
      <c r="B57" t="s">
        <v>56</v>
      </c>
      <c r="F57">
        <v>100</v>
      </c>
      <c r="G57" t="s">
        <v>26</v>
      </c>
      <c r="H57" s="1">
        <v>45721.90347222222</v>
      </c>
      <c r="I57">
        <v>2598396</v>
      </c>
      <c r="J57">
        <v>8513</v>
      </c>
      <c r="K57">
        <v>1127</v>
      </c>
      <c r="L57">
        <v>1</v>
      </c>
      <c r="M57" t="s">
        <v>28</v>
      </c>
      <c r="N57" t="s">
        <v>57</v>
      </c>
      <c r="Q57" t="s">
        <v>33</v>
      </c>
      <c r="R57" t="s">
        <v>31</v>
      </c>
      <c r="T57">
        <v>49147063</v>
      </c>
      <c r="U57">
        <v>86001413</v>
      </c>
      <c r="V57">
        <v>127590</v>
      </c>
    </row>
    <row r="58" spans="1:22" x14ac:dyDescent="0.2">
      <c r="A58" t="str">
        <f>"058731696"</f>
        <v>058731696</v>
      </c>
      <c r="B58" t="s">
        <v>58</v>
      </c>
      <c r="F58">
        <v>100</v>
      </c>
      <c r="G58" t="s">
        <v>26</v>
      </c>
      <c r="H58" s="1">
        <v>45721.90347222222</v>
      </c>
      <c r="I58">
        <v>2595724</v>
      </c>
      <c r="J58">
        <v>5144</v>
      </c>
      <c r="K58">
        <v>1230</v>
      </c>
      <c r="L58">
        <v>1</v>
      </c>
      <c r="M58" t="s">
        <v>28</v>
      </c>
      <c r="N58" t="s">
        <v>59</v>
      </c>
      <c r="Q58" t="s">
        <v>30</v>
      </c>
      <c r="R58" t="s">
        <v>31</v>
      </c>
      <c r="T58">
        <v>49147039</v>
      </c>
      <c r="U58">
        <v>86001412</v>
      </c>
      <c r="V58">
        <v>127589</v>
      </c>
    </row>
    <row r="59" spans="1:22" x14ac:dyDescent="0.2">
      <c r="A59">
        <v>207675836</v>
      </c>
      <c r="B59" t="s">
        <v>51</v>
      </c>
      <c r="C59" t="s">
        <v>52</v>
      </c>
      <c r="D59" t="s">
        <v>53</v>
      </c>
      <c r="E59" t="s">
        <v>54</v>
      </c>
      <c r="F59">
        <v>100</v>
      </c>
      <c r="G59" t="s">
        <v>26</v>
      </c>
      <c r="H59" s="1">
        <v>45721.904166666667</v>
      </c>
      <c r="I59">
        <v>2599625</v>
      </c>
      <c r="J59">
        <v>3105</v>
      </c>
      <c r="K59" t="str">
        <f>"0927"</f>
        <v>0927</v>
      </c>
      <c r="L59">
        <v>1</v>
      </c>
      <c r="M59" t="s">
        <v>28</v>
      </c>
      <c r="N59" t="s">
        <v>55</v>
      </c>
      <c r="Q59" t="s">
        <v>33</v>
      </c>
      <c r="R59" t="s">
        <v>31</v>
      </c>
      <c r="T59">
        <v>49147079</v>
      </c>
      <c r="U59">
        <v>86001414</v>
      </c>
      <c r="V59">
        <v>127591</v>
      </c>
    </row>
    <row r="60" spans="1:22" x14ac:dyDescent="0.2">
      <c r="A60">
        <v>317703825</v>
      </c>
      <c r="B60" t="s">
        <v>45</v>
      </c>
      <c r="C60" t="s">
        <v>46</v>
      </c>
      <c r="D60" t="s">
        <v>47</v>
      </c>
      <c r="E60" t="s">
        <v>48</v>
      </c>
      <c r="F60">
        <v>250</v>
      </c>
      <c r="G60" t="s">
        <v>26</v>
      </c>
      <c r="H60" s="1">
        <v>45721.904861111114</v>
      </c>
      <c r="I60" t="str">
        <f>"0912246"</f>
        <v>0912246</v>
      </c>
      <c r="J60">
        <v>6299</v>
      </c>
      <c r="K60" t="str">
        <f>"0630"</f>
        <v>0630</v>
      </c>
      <c r="L60">
        <v>1</v>
      </c>
      <c r="M60" t="s">
        <v>28</v>
      </c>
      <c r="Q60" t="s">
        <v>33</v>
      </c>
      <c r="R60" t="s">
        <v>31</v>
      </c>
      <c r="T60">
        <v>49147150</v>
      </c>
      <c r="U60">
        <v>86001416</v>
      </c>
      <c r="V60">
        <v>127593</v>
      </c>
    </row>
    <row r="61" spans="1:22" x14ac:dyDescent="0.2">
      <c r="A61">
        <v>215869132</v>
      </c>
      <c r="B61" t="s">
        <v>49</v>
      </c>
      <c r="F61">
        <v>1000</v>
      </c>
      <c r="G61" t="s">
        <v>26</v>
      </c>
      <c r="H61" s="1">
        <v>45721.904861111114</v>
      </c>
      <c r="I61">
        <v>2603347</v>
      </c>
      <c r="J61">
        <v>8202</v>
      </c>
      <c r="K61" t="str">
        <f>"0830"</f>
        <v>0830</v>
      </c>
      <c r="L61">
        <v>1</v>
      </c>
      <c r="M61" t="s">
        <v>28</v>
      </c>
      <c r="N61" t="s">
        <v>50</v>
      </c>
      <c r="Q61" t="s">
        <v>33</v>
      </c>
      <c r="R61" t="s">
        <v>31</v>
      </c>
      <c r="T61">
        <v>49147125</v>
      </c>
      <c r="U61">
        <v>86001415</v>
      </c>
      <c r="V61">
        <v>127592</v>
      </c>
    </row>
    <row r="62" spans="1:22" x14ac:dyDescent="0.2">
      <c r="B62" t="s">
        <v>38</v>
      </c>
      <c r="F62">
        <v>101</v>
      </c>
      <c r="G62" t="s">
        <v>26</v>
      </c>
      <c r="H62" s="1">
        <v>45721.905555555553</v>
      </c>
      <c r="I62">
        <v>2608348</v>
      </c>
      <c r="J62">
        <v>4383</v>
      </c>
      <c r="K62" t="str">
        <f>"0826"</f>
        <v>0826</v>
      </c>
      <c r="L62">
        <v>1</v>
      </c>
      <c r="M62" t="s">
        <v>28</v>
      </c>
      <c r="N62" t="s">
        <v>39</v>
      </c>
      <c r="Q62" t="s">
        <v>33</v>
      </c>
      <c r="R62" t="s">
        <v>31</v>
      </c>
      <c r="T62">
        <v>49147287</v>
      </c>
      <c r="U62">
        <v>86001420</v>
      </c>
      <c r="V62">
        <v>127595</v>
      </c>
    </row>
    <row r="63" spans="1:22" x14ac:dyDescent="0.2">
      <c r="B63" t="s">
        <v>40</v>
      </c>
      <c r="F63">
        <v>1100</v>
      </c>
      <c r="G63" t="s">
        <v>26</v>
      </c>
      <c r="H63" s="1">
        <v>45721.905555555553</v>
      </c>
      <c r="I63">
        <v>329047</v>
      </c>
      <c r="J63">
        <v>7646</v>
      </c>
      <c r="K63" t="str">
        <f>"0827"</f>
        <v>0827</v>
      </c>
      <c r="L63">
        <v>1</v>
      </c>
      <c r="M63" t="s">
        <v>28</v>
      </c>
      <c r="N63" t="s">
        <v>40</v>
      </c>
      <c r="Q63" t="s">
        <v>30</v>
      </c>
      <c r="R63" t="s">
        <v>31</v>
      </c>
      <c r="T63">
        <v>49147281</v>
      </c>
      <c r="U63">
        <v>86001419</v>
      </c>
      <c r="V63">
        <v>127594</v>
      </c>
    </row>
    <row r="64" spans="1:22" x14ac:dyDescent="0.2">
      <c r="A64" t="str">
        <f>"059700468"</f>
        <v>059700468</v>
      </c>
      <c r="B64" t="s">
        <v>22</v>
      </c>
      <c r="C64" t="s">
        <v>23</v>
      </c>
      <c r="D64" t="s">
        <v>24</v>
      </c>
      <c r="E64" t="s">
        <v>41</v>
      </c>
      <c r="F64">
        <v>25</v>
      </c>
      <c r="G64" t="s">
        <v>26</v>
      </c>
      <c r="H64" s="1">
        <v>45721.905555555553</v>
      </c>
      <c r="I64">
        <v>2606497</v>
      </c>
      <c r="J64">
        <v>8070</v>
      </c>
      <c r="K64" t="str">
        <f>"0327"</f>
        <v>0327</v>
      </c>
      <c r="L64" t="s">
        <v>42</v>
      </c>
      <c r="M64" t="s">
        <v>28</v>
      </c>
      <c r="N64" t="s">
        <v>29</v>
      </c>
      <c r="Q64" t="s">
        <v>30</v>
      </c>
      <c r="R64" t="s">
        <v>31</v>
      </c>
      <c r="S64">
        <v>1672671</v>
      </c>
      <c r="T64">
        <v>49147193</v>
      </c>
      <c r="U64">
        <v>86001418</v>
      </c>
    </row>
    <row r="65" spans="1:22" x14ac:dyDescent="0.2">
      <c r="A65" t="str">
        <f>"059700468"</f>
        <v>059700468</v>
      </c>
      <c r="B65" t="s">
        <v>43</v>
      </c>
      <c r="C65" t="s">
        <v>44</v>
      </c>
      <c r="D65" t="s">
        <v>24</v>
      </c>
      <c r="E65" t="s">
        <v>41</v>
      </c>
      <c r="F65">
        <v>25</v>
      </c>
      <c r="G65" t="s">
        <v>26</v>
      </c>
      <c r="H65" s="1">
        <v>45721.905555555553</v>
      </c>
      <c r="I65">
        <v>2606258</v>
      </c>
      <c r="J65">
        <v>8070</v>
      </c>
      <c r="K65" t="str">
        <f>"0327"</f>
        <v>0327</v>
      </c>
      <c r="L65" t="s">
        <v>42</v>
      </c>
      <c r="M65" t="s">
        <v>28</v>
      </c>
      <c r="N65" t="s">
        <v>29</v>
      </c>
      <c r="Q65" t="s">
        <v>30</v>
      </c>
      <c r="R65" t="s">
        <v>31</v>
      </c>
      <c r="S65">
        <v>1672692</v>
      </c>
      <c r="T65">
        <v>49147179</v>
      </c>
      <c r="U65">
        <v>86001417</v>
      </c>
    </row>
    <row r="66" spans="1:22" x14ac:dyDescent="0.2">
      <c r="A66">
        <v>327415683</v>
      </c>
      <c r="B66" t="s">
        <v>32</v>
      </c>
      <c r="F66">
        <v>400</v>
      </c>
      <c r="G66" t="s">
        <v>26</v>
      </c>
      <c r="H66" s="1">
        <v>45721.90625</v>
      </c>
      <c r="I66">
        <v>2613250</v>
      </c>
      <c r="J66">
        <v>3398</v>
      </c>
      <c r="K66" t="str">
        <f>"0930"</f>
        <v>0930</v>
      </c>
      <c r="L66">
        <v>1</v>
      </c>
      <c r="M66" t="s">
        <v>28</v>
      </c>
      <c r="N66" t="s">
        <v>32</v>
      </c>
      <c r="Q66" t="s">
        <v>33</v>
      </c>
      <c r="R66" t="s">
        <v>31</v>
      </c>
      <c r="T66">
        <v>49147336</v>
      </c>
      <c r="U66">
        <v>86001423</v>
      </c>
      <c r="V66">
        <v>127598</v>
      </c>
    </row>
    <row r="67" spans="1:22" x14ac:dyDescent="0.2">
      <c r="B67" t="s">
        <v>34</v>
      </c>
      <c r="F67">
        <v>30</v>
      </c>
      <c r="G67" t="s">
        <v>26</v>
      </c>
      <c r="H67" s="1">
        <v>45721.90625</v>
      </c>
      <c r="I67">
        <v>20704</v>
      </c>
      <c r="J67" t="str">
        <f>"0327"</f>
        <v>0327</v>
      </c>
      <c r="K67" t="str">
        <f>"0230"</f>
        <v>0230</v>
      </c>
      <c r="L67">
        <v>1</v>
      </c>
      <c r="M67" t="s">
        <v>28</v>
      </c>
      <c r="N67" t="s">
        <v>35</v>
      </c>
      <c r="Q67" t="s">
        <v>30</v>
      </c>
      <c r="R67" t="s">
        <v>31</v>
      </c>
      <c r="T67">
        <v>49147313</v>
      </c>
      <c r="U67">
        <v>86001422</v>
      </c>
      <c r="V67">
        <v>127597</v>
      </c>
    </row>
    <row r="68" spans="1:22" x14ac:dyDescent="0.2">
      <c r="B68" t="s">
        <v>36</v>
      </c>
      <c r="F68">
        <v>800</v>
      </c>
      <c r="G68" t="s">
        <v>26</v>
      </c>
      <c r="H68" s="1">
        <v>45721.90625</v>
      </c>
      <c r="I68" t="str">
        <f>"0938886"</f>
        <v>0938886</v>
      </c>
      <c r="J68" t="str">
        <f>"0358"</f>
        <v>0358</v>
      </c>
      <c r="K68" t="str">
        <f>"0131"</f>
        <v>0131</v>
      </c>
      <c r="L68">
        <v>1</v>
      </c>
      <c r="M68" t="s">
        <v>28</v>
      </c>
      <c r="N68" t="s">
        <v>37</v>
      </c>
      <c r="Q68" t="s">
        <v>30</v>
      </c>
      <c r="R68" t="s">
        <v>31</v>
      </c>
      <c r="T68">
        <v>49147310</v>
      </c>
      <c r="U68">
        <v>86001421</v>
      </c>
      <c r="V68">
        <v>127596</v>
      </c>
    </row>
    <row r="69" spans="1:22" x14ac:dyDescent="0.2">
      <c r="A69" t="str">
        <f>"059700468"</f>
        <v>059700468</v>
      </c>
      <c r="B69" t="s">
        <v>22</v>
      </c>
      <c r="C69" t="s">
        <v>23</v>
      </c>
      <c r="D69" t="s">
        <v>24</v>
      </c>
      <c r="E69" t="s">
        <v>25</v>
      </c>
      <c r="F69">
        <v>25</v>
      </c>
      <c r="G69" t="s">
        <v>26</v>
      </c>
      <c r="H69" s="1">
        <v>45721.906944444447</v>
      </c>
      <c r="I69">
        <v>2613907</v>
      </c>
      <c r="J69">
        <v>8070</v>
      </c>
      <c r="K69" t="str">
        <f>"0327"</f>
        <v>0327</v>
      </c>
      <c r="L69" t="s">
        <v>27</v>
      </c>
      <c r="M69" t="s">
        <v>28</v>
      </c>
      <c r="N69" t="s">
        <v>29</v>
      </c>
      <c r="Q69" t="s">
        <v>30</v>
      </c>
      <c r="R69" t="s">
        <v>31</v>
      </c>
      <c r="T69">
        <v>49147340</v>
      </c>
      <c r="U69">
        <v>86001424</v>
      </c>
      <c r="V69">
        <v>127599</v>
      </c>
    </row>
  </sheetData>
  <autoFilter ref="A1:V69">
    <sortState ref="A2:V69">
      <sortCondition ref="H1:H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2025-03-05T19:48:13Z</dcterms:created>
  <dcterms:modified xsi:type="dcterms:W3CDTF">2025-03-05T19:49:46Z</dcterms:modified>
</cp:coreProperties>
</file>