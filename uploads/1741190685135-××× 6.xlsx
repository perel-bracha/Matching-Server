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tshi_k\Desktop\"/>
    </mc:Choice>
  </mc:AlternateContent>
  <xr:revisionPtr revIDLastSave="0" documentId="8_{C2CEF326-2CCA-457D-852F-8385006D230C}" xr6:coauthVersionLast="36" xr6:coauthVersionMax="36" xr10:uidLastSave="{00000000-0000-0000-0000-000000000000}"/>
  <bookViews>
    <workbookView xWindow="0" yWindow="0" windowWidth="28800" windowHeight="12255"/>
  </bookViews>
  <sheets>
    <sheet name="ExportHistory_01.03.25_05.03.25" sheetId="1" r:id="rId1"/>
  </sheets>
  <definedNames>
    <definedName name="_xlnm._FilterDatabase" localSheetId="0" hidden="1">ExportHistory_01.03.25_05.03.25!$A$1:$V$44</definedName>
  </definedNames>
  <calcPr calcId="0"/>
</workbook>
</file>

<file path=xl/calcChain.xml><?xml version="1.0" encoding="utf-8"?>
<calcChain xmlns="http://schemas.openxmlformats.org/spreadsheetml/2006/main">
  <c r="I44" i="1" l="1"/>
  <c r="J43" i="1"/>
  <c r="I42" i="1"/>
  <c r="K42" i="1"/>
  <c r="K41" i="1"/>
  <c r="I38" i="1"/>
  <c r="I39" i="1"/>
  <c r="K40" i="1"/>
  <c r="A36" i="1"/>
  <c r="K36" i="1"/>
  <c r="K37" i="1"/>
  <c r="A35" i="1"/>
  <c r="K35" i="1"/>
  <c r="I34" i="1"/>
  <c r="K34" i="1"/>
  <c r="K33" i="1"/>
  <c r="I32" i="1"/>
  <c r="K32" i="1"/>
  <c r="K30" i="1"/>
  <c r="K31" i="1"/>
  <c r="K27" i="1"/>
  <c r="A28" i="1"/>
  <c r="I28" i="1"/>
  <c r="K28" i="1"/>
  <c r="I26" i="1"/>
  <c r="K25" i="1"/>
  <c r="I23" i="1"/>
  <c r="K23" i="1"/>
  <c r="I24" i="1"/>
  <c r="K24" i="1"/>
  <c r="B21" i="1"/>
  <c r="I21" i="1"/>
  <c r="K18" i="1"/>
  <c r="J20" i="1"/>
  <c r="A17" i="1"/>
  <c r="B14" i="1"/>
  <c r="K14" i="1"/>
  <c r="I15" i="1"/>
  <c r="K16" i="1"/>
  <c r="I12" i="1"/>
  <c r="K12" i="1"/>
  <c r="I11" i="1"/>
  <c r="K11" i="1"/>
  <c r="I10" i="1"/>
  <c r="K10" i="1"/>
  <c r="I8" i="1"/>
  <c r="J8" i="1"/>
  <c r="K8" i="1"/>
  <c r="I9" i="1"/>
  <c r="K9" i="1"/>
  <c r="A7" i="1"/>
  <c r="I7" i="1"/>
  <c r="A6" i="1"/>
  <c r="K6" i="1"/>
  <c r="I5" i="1"/>
  <c r="I3" i="1"/>
  <c r="K3" i="1"/>
  <c r="I4" i="1"/>
  <c r="K4" i="1"/>
  <c r="K2" i="1"/>
</calcChain>
</file>

<file path=xl/sharedStrings.xml><?xml version="1.0" encoding="utf-8"?>
<sst xmlns="http://schemas.openxmlformats.org/spreadsheetml/2006/main" count="344" uniqueCount="164">
  <si>
    <t>מספר זהות</t>
  </si>
  <si>
    <t>שם</t>
  </si>
  <si>
    <t>כתובת</t>
  </si>
  <si>
    <t>טלפון</t>
  </si>
  <si>
    <t>מייל</t>
  </si>
  <si>
    <t>סכום</t>
  </si>
  <si>
    <t>מטבע</t>
  </si>
  <si>
    <t>תאריך עסקה</t>
  </si>
  <si>
    <t>מספר אישור</t>
  </si>
  <si>
    <t>4 ספרות אחרונות</t>
  </si>
  <si>
    <t>תוקף</t>
  </si>
  <si>
    <t>תשלומים</t>
  </si>
  <si>
    <t>קטגוריה</t>
  </si>
  <si>
    <t>הערות</t>
  </si>
  <si>
    <t>שם מסוף</t>
  </si>
  <si>
    <t>מספר מסוף</t>
  </si>
  <si>
    <t>מותג</t>
  </si>
  <si>
    <t>חברה סולקת</t>
  </si>
  <si>
    <t>מספר הו"ק</t>
  </si>
  <si>
    <t>מספר עסקה</t>
  </si>
  <si>
    <t>מספר שובר</t>
  </si>
  <si>
    <t>מספר קבלה</t>
  </si>
  <si>
    <t xml:space="preserve">יחזקאל גולדרייך </t>
  </si>
  <si>
    <t>אנילביץ 78 בני ברק</t>
  </si>
  <si>
    <t>052-3882621</t>
  </si>
  <si>
    <t>g0523882621@gmail.com</t>
  </si>
  <si>
    <t>שקל</t>
  </si>
  <si>
    <t>קמפיין הכנסת כלה תשפ"ה</t>
  </si>
  <si>
    <t>מטי יוליס</t>
  </si>
  <si>
    <t>ויזה</t>
  </si>
  <si>
    <t>ישראכרט</t>
  </si>
  <si>
    <t>חני שרייבר</t>
  </si>
  <si>
    <t>לחי 35 אופקים</t>
  </si>
  <si>
    <t>058-6479260</t>
  </si>
  <si>
    <t>c0504103335@gmail.com</t>
  </si>
  <si>
    <t>מסטרכרד</t>
  </si>
  <si>
    <t>לאה פרל</t>
  </si>
  <si>
    <t>leaperl613@gmail.com</t>
  </si>
  <si>
    <t>גולדי פרל דירה 7</t>
  </si>
  <si>
    <t>הדס מדמוני</t>
  </si>
  <si>
    <t>35 גדעון האוזנר ירושלים</t>
  </si>
  <si>
    <t>055-6742266</t>
  </si>
  <si>
    <t>hadasmadmoni615@gmail.com</t>
  </si>
  <si>
    <t>שירה גלברמן</t>
  </si>
  <si>
    <t>הודיה הרצליך</t>
  </si>
  <si>
    <t>פרופ' אפריים קציר 1 רחובות</t>
  </si>
  <si>
    <t>058-3229243</t>
  </si>
  <si>
    <t>8598929@gmail.com</t>
  </si>
  <si>
    <t>רבקה מנילוב</t>
  </si>
  <si>
    <t>העברה בקליק</t>
  </si>
  <si>
    <t>פרובר מוריה</t>
  </si>
  <si>
    <t>יפה אליעזר, 20 רעננה</t>
  </si>
  <si>
    <t>058-3253905</t>
  </si>
  <si>
    <t>moriyaprober@gmail.com</t>
  </si>
  <si>
    <t>הגעתי דרך 🔹יהלי חן שנה ב🔹 - תזכו למצוות!❤️</t>
  </si>
  <si>
    <t>שירה שפיצר</t>
  </si>
  <si>
    <t>הרב יעקב מוצפי, 22 ביתר עילית</t>
  </si>
  <si>
    <t>054-8496230</t>
  </si>
  <si>
    <t>shira96230@gmail.com</t>
  </si>
  <si>
    <t>שושנה שפירא</t>
  </si>
  <si>
    <t>אברהם שפיצר</t>
  </si>
  <si>
    <t>ויזל יוסי</t>
  </si>
  <si>
    <t>על שם אסתי ויזל</t>
  </si>
  <si>
    <t>מרגי ליאת</t>
  </si>
  <si>
    <t>הרב עובדיה יוסף, 27 אופקים</t>
  </si>
  <si>
    <t>054-8490556</t>
  </si>
  <si>
    <t>mergiliat@gmail.com</t>
  </si>
  <si>
    <t>שירה ברכץ מדשאה</t>
  </si>
  <si>
    <t>יהודית אייכל</t>
  </si>
  <si>
    <t>שמעיה 10 א' אלעד</t>
  </si>
  <si>
    <t>054-8547484</t>
  </si>
  <si>
    <t>mis0527193@gmail.com</t>
  </si>
  <si>
    <t>הו"ק</t>
  </si>
  <si>
    <t>מהדס אמיר</t>
  </si>
  <si>
    <t>אבישג חוברה</t>
  </si>
  <si>
    <t xml:space="preserve">וינטרוב אודיה </t>
  </si>
  <si>
    <t>האר"י 1513/14, קומה שלישית אופקים</t>
  </si>
  <si>
    <t>050-4131916</t>
  </si>
  <si>
    <t>odeyarut@gmail.com</t>
  </si>
  <si>
    <t>ע"ש מרים קדר</t>
  </si>
  <si>
    <t>אביגיל פרץ</t>
  </si>
  <si>
    <t xml:space="preserve"> PQRA2S</t>
  </si>
  <si>
    <t>כהן ברוריה</t>
  </si>
  <si>
    <t>ירושלים</t>
  </si>
  <si>
    <t>058-3259315</t>
  </si>
  <si>
    <t>berouria2005@gmail.com</t>
  </si>
  <si>
    <t>ברוריה כהן, דירה 10</t>
  </si>
  <si>
    <t xml:space="preserve">רחל אסג </t>
  </si>
  <si>
    <t xml:space="preserve">מרימי מנסונגו </t>
  </si>
  <si>
    <t>עימנואל עובדיה</t>
  </si>
  <si>
    <t>אביטל רשד</t>
  </si>
  <si>
    <t xml:space="preserve">פעשא בתיה טלר </t>
  </si>
  <si>
    <t xml:space="preserve">כף החיים 25/3  ביתר עילית </t>
  </si>
  <si>
    <t>054-8503904</t>
  </si>
  <si>
    <t>pbthaler@gmail.com</t>
  </si>
  <si>
    <t xml:space="preserve">פעשי טלר </t>
  </si>
  <si>
    <t>חיה גולדברג</t>
  </si>
  <si>
    <t>ויקי סלמן</t>
  </si>
  <si>
    <t xml:space="preserve">שרה אהרון </t>
  </si>
  <si>
    <t>אור החיים 19 מודיעין עילית</t>
  </si>
  <si>
    <t>050-7557510</t>
  </si>
  <si>
    <t>sa@grifin.me</t>
  </si>
  <si>
    <t xml:space="preserve"> נתרם על שם תמר אהרון</t>
  </si>
  <si>
    <t>חנה טיסר</t>
  </si>
  <si>
    <t>ציפורה טיסר</t>
  </si>
  <si>
    <t>אילן פיינסילבר</t>
  </si>
  <si>
    <t>אורה פיינסילבר</t>
  </si>
  <si>
    <t>052-7533525</t>
  </si>
  <si>
    <t>NedarimPhone</t>
  </si>
  <si>
    <t>שירה ויזל</t>
  </si>
  <si>
    <t>053-3100773</t>
  </si>
  <si>
    <t>s0533100773@gmail.com</t>
  </si>
  <si>
    <t>חנה מרמלשטיין דירה 8</t>
  </si>
  <si>
    <t xml:space="preserve">שרה פרוינד </t>
  </si>
  <si>
    <t>171 boulevard paul claudel  marseille</t>
  </si>
  <si>
    <t>052-7161884</t>
  </si>
  <si>
    <t>sarahfreund27@gmail.com</t>
  </si>
  <si>
    <t xml:space="preserve">יוכבד פרוינד </t>
  </si>
  <si>
    <t>רבקה זלקינד</t>
  </si>
  <si>
    <t>דוד יוליס</t>
  </si>
  <si>
    <t>אליהו הנביא 16 קרית אתא</t>
  </si>
  <si>
    <t>053-3190218</t>
  </si>
  <si>
    <t>d3190218@gmail.com</t>
  </si>
  <si>
    <t>מטי יוליס דירה 3</t>
  </si>
  <si>
    <t>מלכי ראובן</t>
  </si>
  <si>
    <t>1 פינקל 1, Apt. 3 פתח תקווה</t>
  </si>
  <si>
    <t>054-8544516</t>
  </si>
  <si>
    <t>mr0548544516@gmail.com</t>
  </si>
  <si>
    <t>רק בשמחות!!</t>
  </si>
  <si>
    <t>יוכבד</t>
  </si>
  <si>
    <t>קעניג 6 ביתר עילית</t>
  </si>
  <si>
    <t>053-4170766</t>
  </si>
  <si>
    <t>yocheved766@gmail.com</t>
  </si>
  <si>
    <t>אלישבע כרמל</t>
  </si>
  <si>
    <t>מושב בית חלקיה מושב בית חלקיה</t>
  </si>
  <si>
    <t>050-5983333</t>
  </si>
  <si>
    <t>0598333@gmail.com</t>
  </si>
  <si>
    <t>חנה מרמושטיין היקרה</t>
  </si>
  <si>
    <t>איתמר רשד</t>
  </si>
  <si>
    <t>הירושלמית</t>
  </si>
  <si>
    <t>d0556727084@gmail.com</t>
  </si>
  <si>
    <t>דרך שרי פלדמן דירה 8 באהבה מהירושלמית</t>
  </si>
  <si>
    <t>משה מן</t>
  </si>
  <si>
    <t>אסתי מן</t>
  </si>
  <si>
    <t>משה מרמלשטיין</t>
  </si>
  <si>
    <t>אגרות משה 23 ביתר עילית</t>
  </si>
  <si>
    <t>053-4133260</t>
  </si>
  <si>
    <t>moshemerm@gmail.com</t>
  </si>
  <si>
    <t>1 מתוך 2</t>
  </si>
  <si>
    <t>שירה ישי</t>
  </si>
  <si>
    <t>משפחת קליין</t>
  </si>
  <si>
    <t>אמריקן אקספרס</t>
  </si>
  <si>
    <t>שרה ריבוח</t>
  </si>
  <si>
    <t>רות חיים</t>
  </si>
  <si>
    <t>פורטאל דבורה</t>
  </si>
  <si>
    <t>עידו הנביא 2/18 בית שמש</t>
  </si>
  <si>
    <t>058-3264878</t>
  </si>
  <si>
    <t>devorahcr@gmail.com</t>
  </si>
  <si>
    <t>ע"ש יעל דוכן</t>
  </si>
  <si>
    <t>תמר סודרי</t>
  </si>
  <si>
    <t>נויה לוגסי</t>
  </si>
  <si>
    <t>פנינה קופמן</t>
  </si>
  <si>
    <t>peninarc97@gmail.com</t>
  </si>
  <si>
    <t xml:space="preserve">שרה לוי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</si>
</sst>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4"/>
  <sheetViews>
    <sheetView rightToLeft="1" tabSelected="1" workbookViewId="0">
      <selection activeCell="E22" sqref="E22"/>
    </sheetView>
  </sheetViews>
  <sheetFormatPr defaultRowHeight="14.25" x14ac:dyDescent="0.2"/>
  <cols>
    <col min="1" max="1" width="11.125" bestFit="1" customWidth="1"/>
    <col min="2" max="2" width="22.5" bestFit="1" customWidth="1"/>
    <col min="3" max="3" width="45.125" bestFit="1" customWidth="1"/>
    <col min="4" max="4" width="14" bestFit="1" customWidth="1"/>
    <col min="5" max="5" width="27.375" bestFit="1" customWidth="1"/>
    <col min="6" max="6" width="6.375" bestFit="1" customWidth="1"/>
    <col min="7" max="7" width="7.125" bestFit="1" customWidth="1"/>
    <col min="8" max="8" width="15" bestFit="1" customWidth="1"/>
    <col min="9" max="9" width="11.625" bestFit="1" customWidth="1"/>
    <col min="10" max="10" width="15.5" bestFit="1" customWidth="1"/>
    <col min="11" max="11" width="6.625" bestFit="1" customWidth="1"/>
    <col min="12" max="12" width="9.25" bestFit="1" customWidth="1"/>
    <col min="13" max="13" width="20" bestFit="1" customWidth="1"/>
    <col min="14" max="14" width="48.75" bestFit="1" customWidth="1"/>
    <col min="15" max="15" width="9.5" bestFit="1" customWidth="1"/>
    <col min="16" max="16" width="11.375" bestFit="1" customWidth="1"/>
    <col min="17" max="17" width="12.5" bestFit="1" customWidth="1"/>
    <col min="18" max="18" width="12.25" bestFit="1" customWidth="1"/>
    <col min="19" max="19" width="10.75" bestFit="1" customWidth="1"/>
    <col min="20" max="20" width="11.875" bestFit="1" customWidth="1"/>
    <col min="21" max="21" width="11.25" bestFit="1" customWidth="1"/>
    <col min="22" max="22" width="11.62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332272616</v>
      </c>
      <c r="B2" t="s">
        <v>161</v>
      </c>
      <c r="C2" t="s">
        <v>83</v>
      </c>
      <c r="E2" t="s">
        <v>162</v>
      </c>
      <c r="F2">
        <v>50</v>
      </c>
      <c r="G2" t="s">
        <v>26</v>
      </c>
      <c r="H2" s="1">
        <v>45721.713888888888</v>
      </c>
      <c r="I2">
        <v>1041066</v>
      </c>
      <c r="J2">
        <v>5097</v>
      </c>
      <c r="K2" t="str">
        <f>"0130"</f>
        <v>0130</v>
      </c>
      <c r="L2">
        <v>1</v>
      </c>
      <c r="M2" t="s">
        <v>27</v>
      </c>
      <c r="N2" t="s">
        <v>163</v>
      </c>
      <c r="Q2" t="s">
        <v>29</v>
      </c>
      <c r="R2" t="s">
        <v>30</v>
      </c>
      <c r="T2">
        <v>49135799</v>
      </c>
      <c r="U2">
        <v>86001144</v>
      </c>
      <c r="V2">
        <v>127314</v>
      </c>
    </row>
    <row r="3" spans="1:22" x14ac:dyDescent="0.2">
      <c r="A3">
        <v>323663898</v>
      </c>
      <c r="B3" t="s">
        <v>154</v>
      </c>
      <c r="C3" t="s">
        <v>155</v>
      </c>
      <c r="D3" t="s">
        <v>156</v>
      </c>
      <c r="E3" t="s">
        <v>157</v>
      </c>
      <c r="F3">
        <v>50</v>
      </c>
      <c r="G3" t="s">
        <v>26</v>
      </c>
      <c r="H3" s="1">
        <v>45721.71597222222</v>
      </c>
      <c r="I3" t="str">
        <f>"0910703"</f>
        <v>0910703</v>
      </c>
      <c r="J3">
        <v>9243</v>
      </c>
      <c r="K3" t="str">
        <f>"0327"</f>
        <v>0327</v>
      </c>
      <c r="L3">
        <v>1</v>
      </c>
      <c r="M3" t="s">
        <v>27</v>
      </c>
      <c r="N3" t="s">
        <v>158</v>
      </c>
      <c r="Q3" t="s">
        <v>35</v>
      </c>
      <c r="R3" t="s">
        <v>30</v>
      </c>
      <c r="T3">
        <v>49135943</v>
      </c>
      <c r="U3">
        <v>86001146</v>
      </c>
      <c r="V3">
        <v>127316</v>
      </c>
    </row>
    <row r="4" spans="1:22" x14ac:dyDescent="0.2">
      <c r="A4">
        <v>214870735</v>
      </c>
      <c r="B4" t="s">
        <v>159</v>
      </c>
      <c r="F4">
        <v>70</v>
      </c>
      <c r="G4" t="s">
        <v>26</v>
      </c>
      <c r="H4" s="1">
        <v>45721.71597222222</v>
      </c>
      <c r="I4" t="str">
        <f>"0892711"</f>
        <v>0892711</v>
      </c>
      <c r="J4">
        <v>4137</v>
      </c>
      <c r="K4" t="str">
        <f>"0629"</f>
        <v>0629</v>
      </c>
      <c r="L4">
        <v>1</v>
      </c>
      <c r="M4" t="s">
        <v>27</v>
      </c>
      <c r="N4" t="s">
        <v>160</v>
      </c>
      <c r="Q4" t="s">
        <v>35</v>
      </c>
      <c r="R4" t="s">
        <v>30</v>
      </c>
      <c r="T4">
        <v>49135923</v>
      </c>
      <c r="U4">
        <v>86001145</v>
      </c>
      <c r="V4">
        <v>127315</v>
      </c>
    </row>
    <row r="5" spans="1:22" x14ac:dyDescent="0.2">
      <c r="A5">
        <v>326040169</v>
      </c>
      <c r="B5" t="s">
        <v>152</v>
      </c>
      <c r="F5">
        <v>50</v>
      </c>
      <c r="G5" t="s">
        <v>26</v>
      </c>
      <c r="H5" s="1">
        <v>45721.718055555553</v>
      </c>
      <c r="I5" t="str">
        <f>"0977330"</f>
        <v>0977330</v>
      </c>
      <c r="J5">
        <v>1814</v>
      </c>
      <c r="K5">
        <v>1228</v>
      </c>
      <c r="L5">
        <v>1</v>
      </c>
      <c r="M5" t="s">
        <v>27</v>
      </c>
      <c r="N5" t="s">
        <v>153</v>
      </c>
      <c r="Q5" t="s">
        <v>29</v>
      </c>
      <c r="R5" t="s">
        <v>30</v>
      </c>
      <c r="T5">
        <v>49136034</v>
      </c>
      <c r="U5">
        <v>86001147</v>
      </c>
      <c r="V5">
        <v>127317</v>
      </c>
    </row>
    <row r="6" spans="1:22" x14ac:dyDescent="0.2">
      <c r="A6" t="str">
        <f>"033228016"</f>
        <v>033228016</v>
      </c>
      <c r="B6" t="s">
        <v>150</v>
      </c>
      <c r="F6">
        <v>50</v>
      </c>
      <c r="G6" t="s">
        <v>26</v>
      </c>
      <c r="H6" s="1">
        <v>45721.71875</v>
      </c>
      <c r="I6">
        <v>1087321</v>
      </c>
      <c r="J6">
        <v>2486</v>
      </c>
      <c r="K6" t="str">
        <f>"0130"</f>
        <v>0130</v>
      </c>
      <c r="L6">
        <v>1</v>
      </c>
      <c r="M6" t="s">
        <v>27</v>
      </c>
      <c r="N6" t="s">
        <v>143</v>
      </c>
      <c r="Q6" t="s">
        <v>151</v>
      </c>
      <c r="R6" t="s">
        <v>30</v>
      </c>
      <c r="T6">
        <v>49136107</v>
      </c>
      <c r="U6">
        <v>86001148</v>
      </c>
      <c r="V6">
        <v>127318</v>
      </c>
    </row>
    <row r="7" spans="1:22" x14ac:dyDescent="0.2">
      <c r="A7" t="str">
        <f>"022869481"</f>
        <v>022869481</v>
      </c>
      <c r="B7" t="s">
        <v>149</v>
      </c>
      <c r="F7">
        <v>50</v>
      </c>
      <c r="G7" t="s">
        <v>26</v>
      </c>
      <c r="H7" s="1">
        <v>45721.719444444447</v>
      </c>
      <c r="I7" t="str">
        <f>"0051318"</f>
        <v>0051318</v>
      </c>
      <c r="J7">
        <v>8269</v>
      </c>
      <c r="K7">
        <v>1030</v>
      </c>
      <c r="L7">
        <v>1</v>
      </c>
      <c r="M7" t="s">
        <v>27</v>
      </c>
      <c r="N7" t="s">
        <v>143</v>
      </c>
      <c r="Q7" t="s">
        <v>29</v>
      </c>
      <c r="R7" t="s">
        <v>30</v>
      </c>
      <c r="T7">
        <v>49136170</v>
      </c>
      <c r="U7">
        <v>86001149</v>
      </c>
      <c r="V7">
        <v>127319</v>
      </c>
    </row>
    <row r="8" spans="1:22" x14ac:dyDescent="0.2">
      <c r="A8">
        <v>317732915</v>
      </c>
      <c r="B8" t="s">
        <v>144</v>
      </c>
      <c r="C8" t="s">
        <v>145</v>
      </c>
      <c r="D8" t="s">
        <v>146</v>
      </c>
      <c r="E8" t="s">
        <v>147</v>
      </c>
      <c r="F8">
        <v>20</v>
      </c>
      <c r="G8" t="s">
        <v>26</v>
      </c>
      <c r="H8" s="1">
        <v>45721.720138888886</v>
      </c>
      <c r="I8" t="str">
        <f>"0093278"</f>
        <v>0093278</v>
      </c>
      <c r="J8" t="str">
        <f>"0872"</f>
        <v>0872</v>
      </c>
      <c r="K8" t="str">
        <f>"0130"</f>
        <v>0130</v>
      </c>
      <c r="L8" t="s">
        <v>148</v>
      </c>
      <c r="M8" t="s">
        <v>27</v>
      </c>
      <c r="N8" t="s">
        <v>112</v>
      </c>
      <c r="Q8" t="s">
        <v>29</v>
      </c>
      <c r="R8" t="s">
        <v>30</v>
      </c>
      <c r="T8">
        <v>49136251</v>
      </c>
      <c r="U8">
        <v>86001151</v>
      </c>
      <c r="V8">
        <v>127321</v>
      </c>
    </row>
    <row r="9" spans="1:22" x14ac:dyDescent="0.2">
      <c r="A9">
        <v>200979904</v>
      </c>
      <c r="B9" t="s">
        <v>142</v>
      </c>
      <c r="F9">
        <v>180</v>
      </c>
      <c r="G9" t="s">
        <v>26</v>
      </c>
      <c r="H9" s="1">
        <v>45721.720138888886</v>
      </c>
      <c r="I9" t="str">
        <f>"0081935"</f>
        <v>0081935</v>
      </c>
      <c r="J9">
        <v>3267</v>
      </c>
      <c r="K9" t="str">
        <f>"0330"</f>
        <v>0330</v>
      </c>
      <c r="L9">
        <v>1</v>
      </c>
      <c r="M9" t="s">
        <v>27</v>
      </c>
      <c r="N9" t="s">
        <v>143</v>
      </c>
      <c r="Q9" t="s">
        <v>29</v>
      </c>
      <c r="R9" t="s">
        <v>30</v>
      </c>
      <c r="T9">
        <v>49136222</v>
      </c>
      <c r="U9">
        <v>86001150</v>
      </c>
      <c r="V9">
        <v>127320</v>
      </c>
    </row>
    <row r="10" spans="1:22" x14ac:dyDescent="0.2">
      <c r="A10">
        <v>200979904</v>
      </c>
      <c r="B10" t="s">
        <v>142</v>
      </c>
      <c r="F10">
        <v>100</v>
      </c>
      <c r="G10" t="s">
        <v>26</v>
      </c>
      <c r="H10" s="1">
        <v>45721.720833333333</v>
      </c>
      <c r="I10" t="str">
        <f>"0126128"</f>
        <v>0126128</v>
      </c>
      <c r="J10">
        <v>2444</v>
      </c>
      <c r="K10" t="str">
        <f>"0330"</f>
        <v>0330</v>
      </c>
      <c r="L10">
        <v>1</v>
      </c>
      <c r="M10" t="s">
        <v>27</v>
      </c>
      <c r="N10" t="s">
        <v>143</v>
      </c>
      <c r="Q10" t="s">
        <v>29</v>
      </c>
      <c r="R10" t="s">
        <v>30</v>
      </c>
      <c r="T10">
        <v>49136290</v>
      </c>
      <c r="U10">
        <v>86001152</v>
      </c>
      <c r="V10">
        <v>127322</v>
      </c>
    </row>
    <row r="11" spans="1:22" x14ac:dyDescent="0.2">
      <c r="A11">
        <v>214093411</v>
      </c>
      <c r="B11" t="s">
        <v>139</v>
      </c>
      <c r="E11" t="s">
        <v>140</v>
      </c>
      <c r="F11">
        <v>30</v>
      </c>
      <c r="G11" t="s">
        <v>26</v>
      </c>
      <c r="H11" s="1">
        <v>45721.72152777778</v>
      </c>
      <c r="I11" t="str">
        <f>"0156265"</f>
        <v>0156265</v>
      </c>
      <c r="J11">
        <v>6096</v>
      </c>
      <c r="K11" t="str">
        <f>"0130"</f>
        <v>0130</v>
      </c>
      <c r="L11">
        <v>1</v>
      </c>
      <c r="M11" t="s">
        <v>27</v>
      </c>
      <c r="N11" t="s">
        <v>141</v>
      </c>
      <c r="Q11" t="s">
        <v>29</v>
      </c>
      <c r="R11" t="s">
        <v>30</v>
      </c>
      <c r="T11">
        <v>49136318</v>
      </c>
      <c r="U11">
        <v>86001153</v>
      </c>
      <c r="V11">
        <v>127323</v>
      </c>
    </row>
    <row r="12" spans="1:22" x14ac:dyDescent="0.2">
      <c r="A12">
        <v>309940757</v>
      </c>
      <c r="B12" t="s">
        <v>133</v>
      </c>
      <c r="C12" t="s">
        <v>134</v>
      </c>
      <c r="D12" t="s">
        <v>135</v>
      </c>
      <c r="E12" t="s">
        <v>136</v>
      </c>
      <c r="F12">
        <v>100</v>
      </c>
      <c r="G12" t="s">
        <v>26</v>
      </c>
      <c r="H12" s="1">
        <v>45721.722222222219</v>
      </c>
      <c r="I12" t="str">
        <f>"0172023"</f>
        <v>0172023</v>
      </c>
      <c r="J12">
        <v>9851</v>
      </c>
      <c r="K12" t="str">
        <f>"0427"</f>
        <v>0427</v>
      </c>
      <c r="L12">
        <v>1</v>
      </c>
      <c r="M12" t="s">
        <v>27</v>
      </c>
      <c r="N12" t="s">
        <v>137</v>
      </c>
      <c r="Q12" t="s">
        <v>35</v>
      </c>
      <c r="R12" t="s">
        <v>30</v>
      </c>
      <c r="T12">
        <v>49136340</v>
      </c>
      <c r="U12">
        <v>86001155</v>
      </c>
      <c r="V12">
        <v>127325</v>
      </c>
    </row>
    <row r="13" spans="1:22" x14ac:dyDescent="0.2">
      <c r="A13">
        <v>215913989</v>
      </c>
      <c r="B13" t="s">
        <v>138</v>
      </c>
      <c r="F13">
        <v>20</v>
      </c>
      <c r="G13" t="s">
        <v>26</v>
      </c>
      <c r="H13" s="1">
        <v>45721.722222222219</v>
      </c>
      <c r="I13">
        <v>1118470</v>
      </c>
      <c r="J13">
        <v>6206</v>
      </c>
      <c r="K13">
        <v>1230</v>
      </c>
      <c r="L13">
        <v>1</v>
      </c>
      <c r="M13" t="s">
        <v>27</v>
      </c>
      <c r="N13" t="s">
        <v>90</v>
      </c>
      <c r="Q13" t="s">
        <v>29</v>
      </c>
      <c r="R13" t="s">
        <v>30</v>
      </c>
      <c r="T13">
        <v>49136328</v>
      </c>
      <c r="U13">
        <v>86001154</v>
      </c>
      <c r="V13">
        <v>127324</v>
      </c>
    </row>
    <row r="14" spans="1:22" x14ac:dyDescent="0.2">
      <c r="B14" t="str">
        <f>"0527533525"</f>
        <v>0527533525</v>
      </c>
      <c r="D14" t="s">
        <v>107</v>
      </c>
      <c r="F14">
        <v>100</v>
      </c>
      <c r="G14" t="s">
        <v>26</v>
      </c>
      <c r="H14" s="1">
        <v>45721.724305555559</v>
      </c>
      <c r="I14">
        <v>1144696</v>
      </c>
      <c r="J14">
        <v>2585</v>
      </c>
      <c r="K14" t="str">
        <f>"0825"</f>
        <v>0825</v>
      </c>
      <c r="L14">
        <v>1</v>
      </c>
      <c r="N14" t="s">
        <v>108</v>
      </c>
      <c r="Q14" t="s">
        <v>35</v>
      </c>
      <c r="R14" t="s">
        <v>30</v>
      </c>
      <c r="T14">
        <v>49136504</v>
      </c>
      <c r="U14">
        <v>86001157</v>
      </c>
    </row>
    <row r="15" spans="1:22" x14ac:dyDescent="0.2">
      <c r="A15">
        <v>215125279</v>
      </c>
      <c r="B15" t="s">
        <v>124</v>
      </c>
      <c r="C15" t="s">
        <v>125</v>
      </c>
      <c r="D15" t="s">
        <v>126</v>
      </c>
      <c r="E15" t="s">
        <v>127</v>
      </c>
      <c r="F15">
        <v>30</v>
      </c>
      <c r="G15" t="s">
        <v>26</v>
      </c>
      <c r="H15" s="1">
        <v>45721.724305555559</v>
      </c>
      <c r="I15" t="str">
        <f>"0000000"</f>
        <v>0000000</v>
      </c>
      <c r="J15">
        <v>1821</v>
      </c>
      <c r="L15">
        <v>1</v>
      </c>
      <c r="M15" t="s">
        <v>27</v>
      </c>
      <c r="N15" t="s">
        <v>128</v>
      </c>
      <c r="Q15" t="s">
        <v>49</v>
      </c>
      <c r="R15">
        <v>30</v>
      </c>
      <c r="T15">
        <v>49136482</v>
      </c>
      <c r="V15">
        <v>127327</v>
      </c>
    </row>
    <row r="16" spans="1:22" x14ac:dyDescent="0.2">
      <c r="A16">
        <v>214938615</v>
      </c>
      <c r="B16" t="s">
        <v>129</v>
      </c>
      <c r="C16" t="s">
        <v>130</v>
      </c>
      <c r="D16" t="s">
        <v>131</v>
      </c>
      <c r="E16" t="s">
        <v>132</v>
      </c>
      <c r="F16">
        <v>100</v>
      </c>
      <c r="G16" t="s">
        <v>26</v>
      </c>
      <c r="H16" s="1">
        <v>45721.724305555559</v>
      </c>
      <c r="I16">
        <v>50278</v>
      </c>
      <c r="J16">
        <v>9743</v>
      </c>
      <c r="K16" t="str">
        <f>"0327"</f>
        <v>0327</v>
      </c>
      <c r="L16">
        <v>1</v>
      </c>
      <c r="M16" t="s">
        <v>27</v>
      </c>
      <c r="Q16" t="s">
        <v>29</v>
      </c>
      <c r="R16" t="s">
        <v>30</v>
      </c>
      <c r="T16">
        <v>49136460</v>
      </c>
      <c r="U16">
        <v>86001156</v>
      </c>
      <c r="V16">
        <v>127326</v>
      </c>
    </row>
    <row r="17" spans="1:22" x14ac:dyDescent="0.2">
      <c r="A17" t="str">
        <f>"066126228"</f>
        <v>066126228</v>
      </c>
      <c r="B17" t="s">
        <v>119</v>
      </c>
      <c r="C17" t="s">
        <v>120</v>
      </c>
      <c r="D17" t="s">
        <v>121</v>
      </c>
      <c r="E17" t="s">
        <v>122</v>
      </c>
      <c r="F17">
        <v>50</v>
      </c>
      <c r="G17" t="s">
        <v>26</v>
      </c>
      <c r="H17" s="1">
        <v>45721.725694444445</v>
      </c>
      <c r="I17">
        <v>99463</v>
      </c>
      <c r="J17">
        <v>8727</v>
      </c>
      <c r="K17">
        <v>1025</v>
      </c>
      <c r="L17">
        <v>1</v>
      </c>
      <c r="M17" t="s">
        <v>27</v>
      </c>
      <c r="N17" t="s">
        <v>123</v>
      </c>
      <c r="Q17" t="s">
        <v>35</v>
      </c>
      <c r="R17" t="s">
        <v>30</v>
      </c>
      <c r="T17">
        <v>49136560</v>
      </c>
      <c r="U17">
        <v>86001158</v>
      </c>
      <c r="V17">
        <v>127328</v>
      </c>
    </row>
    <row r="18" spans="1:22" x14ac:dyDescent="0.2">
      <c r="A18">
        <v>329330070</v>
      </c>
      <c r="B18" t="s">
        <v>109</v>
      </c>
      <c r="C18" t="s">
        <v>83</v>
      </c>
      <c r="D18" t="s">
        <v>110</v>
      </c>
      <c r="E18" t="s">
        <v>111</v>
      </c>
      <c r="F18">
        <v>200</v>
      </c>
      <c r="G18" t="s">
        <v>26</v>
      </c>
      <c r="H18" s="1">
        <v>45721.727777777778</v>
      </c>
      <c r="I18">
        <v>62357</v>
      </c>
      <c r="J18">
        <v>9944</v>
      </c>
      <c r="K18" t="str">
        <f>"0229"</f>
        <v>0229</v>
      </c>
      <c r="L18">
        <v>1</v>
      </c>
      <c r="M18" t="s">
        <v>27</v>
      </c>
      <c r="N18" t="s">
        <v>112</v>
      </c>
      <c r="Q18" t="s">
        <v>29</v>
      </c>
      <c r="R18" t="s">
        <v>30</v>
      </c>
      <c r="T18">
        <v>49136712</v>
      </c>
      <c r="U18">
        <v>86001161</v>
      </c>
      <c r="V18">
        <v>127331</v>
      </c>
    </row>
    <row r="19" spans="1:22" x14ac:dyDescent="0.2">
      <c r="B19" t="s">
        <v>113</v>
      </c>
      <c r="C19" t="s">
        <v>114</v>
      </c>
      <c r="D19" t="s">
        <v>115</v>
      </c>
      <c r="E19" t="s">
        <v>116</v>
      </c>
      <c r="F19">
        <v>20</v>
      </c>
      <c r="G19" t="s">
        <v>26</v>
      </c>
      <c r="H19" s="1">
        <v>45721.727777777778</v>
      </c>
      <c r="I19">
        <v>61492</v>
      </c>
      <c r="J19">
        <v>9642</v>
      </c>
      <c r="K19">
        <v>1028</v>
      </c>
      <c r="L19">
        <v>1</v>
      </c>
      <c r="M19" t="s">
        <v>27</v>
      </c>
      <c r="N19" t="s">
        <v>117</v>
      </c>
      <c r="Q19" t="s">
        <v>29</v>
      </c>
      <c r="R19" t="s">
        <v>30</v>
      </c>
      <c r="T19">
        <v>49136689</v>
      </c>
      <c r="U19">
        <v>86001160</v>
      </c>
      <c r="V19">
        <v>127330</v>
      </c>
    </row>
    <row r="20" spans="1:22" x14ac:dyDescent="0.2">
      <c r="A20">
        <v>216277954</v>
      </c>
      <c r="B20" t="s">
        <v>118</v>
      </c>
      <c r="F20">
        <v>100</v>
      </c>
      <c r="G20" t="s">
        <v>26</v>
      </c>
      <c r="H20" s="1">
        <v>45721.727777777778</v>
      </c>
      <c r="I20">
        <v>1173342</v>
      </c>
      <c r="J20" t="str">
        <f>"0608"</f>
        <v>0608</v>
      </c>
      <c r="K20">
        <v>1129</v>
      </c>
      <c r="L20">
        <v>1</v>
      </c>
      <c r="M20" t="s">
        <v>27</v>
      </c>
      <c r="N20" t="s">
        <v>59</v>
      </c>
      <c r="Q20" t="s">
        <v>29</v>
      </c>
      <c r="R20" t="s">
        <v>30</v>
      </c>
      <c r="T20">
        <v>49136687</v>
      </c>
      <c r="U20">
        <v>86001159</v>
      </c>
      <c r="V20">
        <v>127329</v>
      </c>
    </row>
    <row r="21" spans="1:22" x14ac:dyDescent="0.2">
      <c r="B21" t="str">
        <f>"0527533525"</f>
        <v>0527533525</v>
      </c>
      <c r="D21" t="s">
        <v>107</v>
      </c>
      <c r="F21">
        <v>100</v>
      </c>
      <c r="G21" t="s">
        <v>26</v>
      </c>
      <c r="H21" s="1">
        <v>45721.728472222225</v>
      </c>
      <c r="I21" t="str">
        <f>"0455477"</f>
        <v>0455477</v>
      </c>
      <c r="J21">
        <v>3132</v>
      </c>
      <c r="K21">
        <v>1029</v>
      </c>
      <c r="L21">
        <v>1</v>
      </c>
      <c r="N21" t="s">
        <v>108</v>
      </c>
      <c r="Q21" t="s">
        <v>29</v>
      </c>
      <c r="R21" t="s">
        <v>30</v>
      </c>
      <c r="T21">
        <v>49136763</v>
      </c>
      <c r="U21">
        <v>86001162</v>
      </c>
    </row>
    <row r="22" spans="1:22" x14ac:dyDescent="0.2">
      <c r="A22">
        <v>346521206</v>
      </c>
      <c r="B22" t="s">
        <v>105</v>
      </c>
      <c r="F22">
        <v>80</v>
      </c>
      <c r="G22" t="s">
        <v>26</v>
      </c>
      <c r="H22" s="1">
        <v>45721.729861111111</v>
      </c>
      <c r="I22">
        <v>463995</v>
      </c>
      <c r="J22">
        <v>2177</v>
      </c>
      <c r="K22">
        <v>1026</v>
      </c>
      <c r="L22">
        <v>1</v>
      </c>
      <c r="M22" t="s">
        <v>27</v>
      </c>
      <c r="N22" t="s">
        <v>106</v>
      </c>
      <c r="Q22" t="s">
        <v>35</v>
      </c>
      <c r="R22" t="s">
        <v>30</v>
      </c>
      <c r="T22">
        <v>49136818</v>
      </c>
      <c r="U22">
        <v>86001163</v>
      </c>
      <c r="V22">
        <v>127332</v>
      </c>
    </row>
    <row r="23" spans="1:22" x14ac:dyDescent="0.2">
      <c r="A23">
        <v>208318832</v>
      </c>
      <c r="B23" t="s">
        <v>98</v>
      </c>
      <c r="C23" t="s">
        <v>99</v>
      </c>
      <c r="D23" t="s">
        <v>100</v>
      </c>
      <c r="E23" t="s">
        <v>101</v>
      </c>
      <c r="F23">
        <v>50</v>
      </c>
      <c r="G23" t="s">
        <v>26</v>
      </c>
      <c r="H23" s="1">
        <v>45721.730555555558</v>
      </c>
      <c r="I23" t="str">
        <f>"0549576"</f>
        <v>0549576</v>
      </c>
      <c r="J23">
        <v>5246</v>
      </c>
      <c r="K23" t="str">
        <f>"0727"</f>
        <v>0727</v>
      </c>
      <c r="L23">
        <v>1</v>
      </c>
      <c r="M23" t="s">
        <v>27</v>
      </c>
      <c r="N23" t="s">
        <v>102</v>
      </c>
      <c r="Q23" t="s">
        <v>29</v>
      </c>
      <c r="R23" t="s">
        <v>30</v>
      </c>
      <c r="T23">
        <v>49136886</v>
      </c>
      <c r="U23">
        <v>86001165</v>
      </c>
      <c r="V23">
        <v>127334</v>
      </c>
    </row>
    <row r="24" spans="1:22" x14ac:dyDescent="0.2">
      <c r="A24">
        <v>326808193</v>
      </c>
      <c r="B24" t="s">
        <v>103</v>
      </c>
      <c r="F24">
        <v>100</v>
      </c>
      <c r="G24" t="s">
        <v>26</v>
      </c>
      <c r="H24" s="1">
        <v>45721.730555555558</v>
      </c>
      <c r="I24" t="str">
        <f>"0549139"</f>
        <v>0549139</v>
      </c>
      <c r="J24">
        <v>9088</v>
      </c>
      <c r="K24" t="str">
        <f>"0630"</f>
        <v>0630</v>
      </c>
      <c r="L24">
        <v>1</v>
      </c>
      <c r="M24" t="s">
        <v>27</v>
      </c>
      <c r="N24" t="s">
        <v>104</v>
      </c>
      <c r="Q24" t="s">
        <v>29</v>
      </c>
      <c r="R24" t="s">
        <v>30</v>
      </c>
      <c r="T24">
        <v>49136885</v>
      </c>
      <c r="U24">
        <v>86001164</v>
      </c>
      <c r="V24">
        <v>127333</v>
      </c>
    </row>
    <row r="25" spans="1:22" x14ac:dyDescent="0.2">
      <c r="A25">
        <v>302737630</v>
      </c>
      <c r="B25" t="s">
        <v>96</v>
      </c>
      <c r="F25">
        <v>20</v>
      </c>
      <c r="G25" t="s">
        <v>26</v>
      </c>
      <c r="H25" s="1">
        <v>45721.731944444444</v>
      </c>
      <c r="I25">
        <v>75443</v>
      </c>
      <c r="J25">
        <v>7455</v>
      </c>
      <c r="K25" t="str">
        <f>"0827"</f>
        <v>0827</v>
      </c>
      <c r="L25">
        <v>1</v>
      </c>
      <c r="M25" t="s">
        <v>27</v>
      </c>
      <c r="N25" t="s">
        <v>97</v>
      </c>
      <c r="Q25" t="s">
        <v>29</v>
      </c>
      <c r="R25" t="s">
        <v>30</v>
      </c>
      <c r="T25">
        <v>49136970</v>
      </c>
      <c r="U25">
        <v>86001166</v>
      </c>
      <c r="V25">
        <v>127335</v>
      </c>
    </row>
    <row r="26" spans="1:22" x14ac:dyDescent="0.2">
      <c r="A26">
        <v>214878951</v>
      </c>
      <c r="B26" t="s">
        <v>91</v>
      </c>
      <c r="C26" t="s">
        <v>92</v>
      </c>
      <c r="D26" t="s">
        <v>93</v>
      </c>
      <c r="E26" t="s">
        <v>94</v>
      </c>
      <c r="F26">
        <v>200</v>
      </c>
      <c r="G26" t="s">
        <v>26</v>
      </c>
      <c r="H26" s="1">
        <v>45721.732638888891</v>
      </c>
      <c r="I26" t="str">
        <f>"0643023"</f>
        <v>0643023</v>
      </c>
      <c r="J26">
        <v>6683</v>
      </c>
      <c r="K26">
        <v>1128</v>
      </c>
      <c r="L26">
        <v>1</v>
      </c>
      <c r="M26" t="s">
        <v>27</v>
      </c>
      <c r="N26" t="s">
        <v>95</v>
      </c>
      <c r="Q26" t="s">
        <v>29</v>
      </c>
      <c r="R26" t="s">
        <v>30</v>
      </c>
      <c r="T26">
        <v>49137000</v>
      </c>
      <c r="U26">
        <v>86001167</v>
      </c>
      <c r="V26">
        <v>127336</v>
      </c>
    </row>
    <row r="27" spans="1:22" x14ac:dyDescent="0.2">
      <c r="B27" t="s">
        <v>87</v>
      </c>
      <c r="F27">
        <v>100</v>
      </c>
      <c r="G27" t="s">
        <v>26</v>
      </c>
      <c r="H27" s="1">
        <v>45721.73333333333</v>
      </c>
      <c r="I27">
        <v>1227133</v>
      </c>
      <c r="J27">
        <v>1066</v>
      </c>
      <c r="K27" t="str">
        <f>"0930"</f>
        <v>0930</v>
      </c>
      <c r="L27">
        <v>1</v>
      </c>
      <c r="M27" t="s">
        <v>27</v>
      </c>
      <c r="N27" t="s">
        <v>88</v>
      </c>
      <c r="Q27" t="s">
        <v>35</v>
      </c>
      <c r="R27" t="s">
        <v>30</v>
      </c>
      <c r="T27">
        <v>49137034</v>
      </c>
      <c r="U27">
        <v>86001169</v>
      </c>
      <c r="V27">
        <v>127338</v>
      </c>
    </row>
    <row r="28" spans="1:22" x14ac:dyDescent="0.2">
      <c r="A28" t="str">
        <f>"036853208"</f>
        <v>036853208</v>
      </c>
      <c r="B28" t="s">
        <v>89</v>
      </c>
      <c r="F28">
        <v>36</v>
      </c>
      <c r="G28" t="s">
        <v>26</v>
      </c>
      <c r="H28" s="1">
        <v>45721.73333333333</v>
      </c>
      <c r="I28" t="str">
        <f>"0668772"</f>
        <v>0668772</v>
      </c>
      <c r="J28">
        <v>7384</v>
      </c>
      <c r="K28" t="str">
        <f>"0427"</f>
        <v>0427</v>
      </c>
      <c r="L28">
        <v>1</v>
      </c>
      <c r="M28" t="s">
        <v>27</v>
      </c>
      <c r="N28" t="s">
        <v>90</v>
      </c>
      <c r="Q28" t="s">
        <v>29</v>
      </c>
      <c r="R28" t="s">
        <v>30</v>
      </c>
      <c r="T28">
        <v>49137029</v>
      </c>
      <c r="U28">
        <v>86001168</v>
      </c>
      <c r="V28">
        <v>127337</v>
      </c>
    </row>
    <row r="29" spans="1:22" x14ac:dyDescent="0.2">
      <c r="A29">
        <v>348284043</v>
      </c>
      <c r="B29" t="s">
        <v>82</v>
      </c>
      <c r="C29" t="s">
        <v>83</v>
      </c>
      <c r="D29" t="s">
        <v>84</v>
      </c>
      <c r="E29" t="s">
        <v>85</v>
      </c>
      <c r="F29">
        <v>50</v>
      </c>
      <c r="G29" t="s">
        <v>26</v>
      </c>
      <c r="H29" s="1">
        <v>45721.734027777777</v>
      </c>
      <c r="I29">
        <v>1232491</v>
      </c>
      <c r="J29">
        <v>9244</v>
      </c>
      <c r="K29">
        <v>1130</v>
      </c>
      <c r="L29">
        <v>1</v>
      </c>
      <c r="M29" t="s">
        <v>27</v>
      </c>
      <c r="N29" t="s">
        <v>86</v>
      </c>
      <c r="Q29" t="s">
        <v>35</v>
      </c>
      <c r="R29" t="s">
        <v>30</v>
      </c>
      <c r="T29">
        <v>49137061</v>
      </c>
      <c r="U29">
        <v>86001170</v>
      </c>
      <c r="V29">
        <v>127339</v>
      </c>
    </row>
    <row r="30" spans="1:22" x14ac:dyDescent="0.2">
      <c r="A30">
        <v>200273753</v>
      </c>
      <c r="B30" t="s">
        <v>75</v>
      </c>
      <c r="C30" t="s">
        <v>76</v>
      </c>
      <c r="D30" t="s">
        <v>77</v>
      </c>
      <c r="E30" t="s">
        <v>78</v>
      </c>
      <c r="F30">
        <v>20</v>
      </c>
      <c r="G30" t="s">
        <v>26</v>
      </c>
      <c r="H30" s="1">
        <v>45721.734722222223</v>
      </c>
      <c r="I30">
        <v>84351</v>
      </c>
      <c r="J30">
        <v>8458</v>
      </c>
      <c r="K30" t="str">
        <f>"0528"</f>
        <v>0528</v>
      </c>
      <c r="L30">
        <v>1</v>
      </c>
      <c r="M30" t="s">
        <v>27</v>
      </c>
      <c r="N30" t="s">
        <v>79</v>
      </c>
      <c r="Q30" t="s">
        <v>29</v>
      </c>
      <c r="R30" t="s">
        <v>30</v>
      </c>
      <c r="T30">
        <v>49137121</v>
      </c>
      <c r="U30">
        <v>86001172</v>
      </c>
      <c r="V30">
        <v>127341</v>
      </c>
    </row>
    <row r="31" spans="1:22" x14ac:dyDescent="0.2">
      <c r="B31" t="s">
        <v>80</v>
      </c>
      <c r="F31">
        <v>50</v>
      </c>
      <c r="G31" t="s">
        <v>26</v>
      </c>
      <c r="H31" s="1">
        <v>45721.734722222223</v>
      </c>
      <c r="I31" t="s">
        <v>81</v>
      </c>
      <c r="J31">
        <v>9245</v>
      </c>
      <c r="K31" t="str">
        <f>"0329"</f>
        <v>0329</v>
      </c>
      <c r="L31">
        <v>1</v>
      </c>
      <c r="M31" t="s">
        <v>27</v>
      </c>
      <c r="N31" t="s">
        <v>80</v>
      </c>
      <c r="Q31" t="s">
        <v>35</v>
      </c>
      <c r="R31" t="s">
        <v>30</v>
      </c>
      <c r="T31">
        <v>49137120</v>
      </c>
      <c r="U31">
        <v>86001171</v>
      </c>
      <c r="V31">
        <v>127340</v>
      </c>
    </row>
    <row r="32" spans="1:22" x14ac:dyDescent="0.2">
      <c r="A32">
        <v>326154218</v>
      </c>
      <c r="B32" t="s">
        <v>36</v>
      </c>
      <c r="E32" t="s">
        <v>37</v>
      </c>
      <c r="F32">
        <v>20</v>
      </c>
      <c r="G32" t="s">
        <v>26</v>
      </c>
      <c r="H32" s="1">
        <v>45721.73541666667</v>
      </c>
      <c r="I32" t="str">
        <f>"0751495"</f>
        <v>0751495</v>
      </c>
      <c r="J32">
        <v>5758</v>
      </c>
      <c r="K32" t="str">
        <f>"0130"</f>
        <v>0130</v>
      </c>
      <c r="L32">
        <v>1</v>
      </c>
      <c r="M32" t="s">
        <v>27</v>
      </c>
      <c r="N32" t="s">
        <v>74</v>
      </c>
      <c r="Q32" t="s">
        <v>35</v>
      </c>
      <c r="R32" t="s">
        <v>30</v>
      </c>
      <c r="T32">
        <v>49137127</v>
      </c>
      <c r="U32">
        <v>86001173</v>
      </c>
      <c r="V32">
        <v>127342</v>
      </c>
    </row>
    <row r="33" spans="1:22" x14ac:dyDescent="0.2">
      <c r="A33">
        <v>329078380</v>
      </c>
      <c r="B33" t="s">
        <v>68</v>
      </c>
      <c r="C33" t="s">
        <v>69</v>
      </c>
      <c r="D33" t="s">
        <v>70</v>
      </c>
      <c r="E33" t="s">
        <v>71</v>
      </c>
      <c r="F33">
        <v>30</v>
      </c>
      <c r="G33" t="s">
        <v>26</v>
      </c>
      <c r="H33" s="1">
        <v>45721.736111111109</v>
      </c>
      <c r="I33">
        <v>1256262</v>
      </c>
      <c r="J33">
        <v>3226</v>
      </c>
      <c r="K33" t="str">
        <f>"0530"</f>
        <v>0530</v>
      </c>
      <c r="L33" t="s">
        <v>72</v>
      </c>
      <c r="M33" t="s">
        <v>27</v>
      </c>
      <c r="N33" t="s">
        <v>73</v>
      </c>
      <c r="Q33" t="s">
        <v>29</v>
      </c>
      <c r="R33" t="s">
        <v>30</v>
      </c>
      <c r="S33">
        <v>1672134</v>
      </c>
      <c r="T33">
        <v>49137199</v>
      </c>
      <c r="U33">
        <v>86001174</v>
      </c>
    </row>
    <row r="34" spans="1:22" x14ac:dyDescent="0.2">
      <c r="A34">
        <v>326154218</v>
      </c>
      <c r="B34" t="s">
        <v>36</v>
      </c>
      <c r="E34" t="s">
        <v>37</v>
      </c>
      <c r="F34">
        <v>21</v>
      </c>
      <c r="G34" t="s">
        <v>26</v>
      </c>
      <c r="H34" s="1">
        <v>45721.739583333336</v>
      </c>
      <c r="I34" t="str">
        <f>"0943050"</f>
        <v>0943050</v>
      </c>
      <c r="J34">
        <v>5758</v>
      </c>
      <c r="K34" t="str">
        <f>"0130"</f>
        <v>0130</v>
      </c>
      <c r="L34">
        <v>1</v>
      </c>
      <c r="M34" t="s">
        <v>27</v>
      </c>
      <c r="N34" t="s">
        <v>67</v>
      </c>
      <c r="Q34" t="s">
        <v>35</v>
      </c>
      <c r="R34" t="s">
        <v>30</v>
      </c>
      <c r="T34">
        <v>49137448</v>
      </c>
      <c r="U34">
        <v>86001175</v>
      </c>
      <c r="V34">
        <v>127343</v>
      </c>
    </row>
    <row r="35" spans="1:22" x14ac:dyDescent="0.2">
      <c r="A35" t="str">
        <f>"033346347"</f>
        <v>033346347</v>
      </c>
      <c r="B35" t="s">
        <v>63</v>
      </c>
      <c r="C35" t="s">
        <v>64</v>
      </c>
      <c r="D35" t="s">
        <v>65</v>
      </c>
      <c r="E35" t="s">
        <v>66</v>
      </c>
      <c r="F35">
        <v>100</v>
      </c>
      <c r="G35" t="s">
        <v>26</v>
      </c>
      <c r="H35" s="1">
        <v>45721.740277777775</v>
      </c>
      <c r="I35">
        <v>4</v>
      </c>
      <c r="J35">
        <v>2425</v>
      </c>
      <c r="K35" t="str">
        <f>"0730"</f>
        <v>0730</v>
      </c>
      <c r="L35">
        <v>1</v>
      </c>
      <c r="M35" t="s">
        <v>27</v>
      </c>
      <c r="Q35" t="s">
        <v>29</v>
      </c>
      <c r="R35" t="s">
        <v>30</v>
      </c>
      <c r="T35">
        <v>49137485</v>
      </c>
      <c r="U35">
        <v>86001176</v>
      </c>
      <c r="V35">
        <v>127344</v>
      </c>
    </row>
    <row r="36" spans="1:22" x14ac:dyDescent="0.2">
      <c r="A36" t="str">
        <f>"022270029"</f>
        <v>022270029</v>
      </c>
      <c r="B36" t="s">
        <v>60</v>
      </c>
      <c r="C36" t="s">
        <v>56</v>
      </c>
      <c r="D36" t="s">
        <v>57</v>
      </c>
      <c r="E36" t="s">
        <v>58</v>
      </c>
      <c r="F36">
        <v>36</v>
      </c>
      <c r="G36" t="s">
        <v>26</v>
      </c>
      <c r="H36" s="1">
        <v>45721.743055555555</v>
      </c>
      <c r="I36">
        <v>1321359</v>
      </c>
      <c r="J36">
        <v>3383</v>
      </c>
      <c r="K36" t="str">
        <f>"0930"</f>
        <v>0930</v>
      </c>
      <c r="L36">
        <v>1</v>
      </c>
      <c r="M36" t="s">
        <v>27</v>
      </c>
      <c r="N36" t="s">
        <v>59</v>
      </c>
      <c r="Q36" t="s">
        <v>35</v>
      </c>
      <c r="R36" t="s">
        <v>30</v>
      </c>
      <c r="T36">
        <v>49137650</v>
      </c>
      <c r="U36">
        <v>86001178</v>
      </c>
      <c r="V36">
        <v>127346</v>
      </c>
    </row>
    <row r="37" spans="1:22" x14ac:dyDescent="0.2">
      <c r="B37" t="s">
        <v>61</v>
      </c>
      <c r="F37">
        <v>18</v>
      </c>
      <c r="G37" t="s">
        <v>26</v>
      </c>
      <c r="H37" s="1">
        <v>45721.743055555555</v>
      </c>
      <c r="I37">
        <v>9528</v>
      </c>
      <c r="J37">
        <v>5040</v>
      </c>
      <c r="K37" t="str">
        <f>"0927"</f>
        <v>0927</v>
      </c>
      <c r="L37">
        <v>1</v>
      </c>
      <c r="M37" t="s">
        <v>27</v>
      </c>
      <c r="N37" t="s">
        <v>62</v>
      </c>
      <c r="Q37" t="s">
        <v>29</v>
      </c>
      <c r="R37" t="s">
        <v>30</v>
      </c>
      <c r="T37">
        <v>49137646</v>
      </c>
      <c r="U37">
        <v>86001177</v>
      </c>
      <c r="V37">
        <v>127345</v>
      </c>
    </row>
    <row r="38" spans="1:22" x14ac:dyDescent="0.2">
      <c r="A38">
        <v>213662695</v>
      </c>
      <c r="B38" t="s">
        <v>44</v>
      </c>
      <c r="C38" t="s">
        <v>45</v>
      </c>
      <c r="D38" t="s">
        <v>46</v>
      </c>
      <c r="E38" t="s">
        <v>47</v>
      </c>
      <c r="F38">
        <v>100</v>
      </c>
      <c r="G38" t="s">
        <v>26</v>
      </c>
      <c r="H38" s="1">
        <v>45721.744444444441</v>
      </c>
      <c r="I38" t="str">
        <f>"0000000"</f>
        <v>0000000</v>
      </c>
      <c r="J38">
        <v>6860</v>
      </c>
      <c r="L38">
        <v>1</v>
      </c>
      <c r="M38" t="s">
        <v>27</v>
      </c>
      <c r="N38" t="s">
        <v>48</v>
      </c>
      <c r="Q38" t="s">
        <v>49</v>
      </c>
      <c r="R38">
        <v>30</v>
      </c>
      <c r="T38">
        <v>49137723</v>
      </c>
      <c r="V38">
        <v>127349</v>
      </c>
    </row>
    <row r="39" spans="1:22" x14ac:dyDescent="0.2">
      <c r="A39">
        <v>215774282</v>
      </c>
      <c r="B39" t="s">
        <v>50</v>
      </c>
      <c r="C39" t="s">
        <v>51</v>
      </c>
      <c r="D39" t="s">
        <v>52</v>
      </c>
      <c r="E39" t="s">
        <v>53</v>
      </c>
      <c r="F39">
        <v>150</v>
      </c>
      <c r="G39" t="s">
        <v>26</v>
      </c>
      <c r="H39" s="1">
        <v>45721.744444444441</v>
      </c>
      <c r="I39" t="str">
        <f>"0000000"</f>
        <v>0000000</v>
      </c>
      <c r="J39">
        <v>7000</v>
      </c>
      <c r="L39">
        <v>1</v>
      </c>
      <c r="M39" t="s">
        <v>27</v>
      </c>
      <c r="N39" t="s">
        <v>54</v>
      </c>
      <c r="Q39" t="s">
        <v>49</v>
      </c>
      <c r="R39">
        <v>30</v>
      </c>
      <c r="T39">
        <v>49137718</v>
      </c>
      <c r="V39">
        <v>127348</v>
      </c>
    </row>
    <row r="40" spans="1:22" x14ac:dyDescent="0.2">
      <c r="A40">
        <v>215766148</v>
      </c>
      <c r="B40" t="s">
        <v>55</v>
      </c>
      <c r="C40" t="s">
        <v>56</v>
      </c>
      <c r="D40" t="s">
        <v>57</v>
      </c>
      <c r="E40" t="s">
        <v>58</v>
      </c>
      <c r="F40">
        <v>20</v>
      </c>
      <c r="G40" t="s">
        <v>26</v>
      </c>
      <c r="H40" s="1">
        <v>45721.744444444441</v>
      </c>
      <c r="I40">
        <v>1330525</v>
      </c>
      <c r="J40">
        <v>7203</v>
      </c>
      <c r="K40" t="str">
        <f>"0530"</f>
        <v>0530</v>
      </c>
      <c r="L40">
        <v>1</v>
      </c>
      <c r="M40" t="s">
        <v>27</v>
      </c>
      <c r="N40" t="s">
        <v>59</v>
      </c>
      <c r="Q40" t="s">
        <v>29</v>
      </c>
      <c r="R40" t="s">
        <v>30</v>
      </c>
      <c r="T40">
        <v>49137709</v>
      </c>
      <c r="U40">
        <v>86001179</v>
      </c>
      <c r="V40">
        <v>127347</v>
      </c>
    </row>
    <row r="41" spans="1:22" x14ac:dyDescent="0.2">
      <c r="A41">
        <v>214772857</v>
      </c>
      <c r="B41" t="s">
        <v>39</v>
      </c>
      <c r="C41" t="s">
        <v>40</v>
      </c>
      <c r="D41" t="s">
        <v>41</v>
      </c>
      <c r="E41" t="s">
        <v>42</v>
      </c>
      <c r="F41">
        <v>80</v>
      </c>
      <c r="G41" t="s">
        <v>26</v>
      </c>
      <c r="H41" s="1">
        <v>45721.745138888888</v>
      </c>
      <c r="I41">
        <v>1337981</v>
      </c>
      <c r="J41">
        <v>6767</v>
      </c>
      <c r="K41" t="str">
        <f>"0626"</f>
        <v>0626</v>
      </c>
      <c r="L41">
        <v>1</v>
      </c>
      <c r="M41" t="s">
        <v>27</v>
      </c>
      <c r="N41" t="s">
        <v>43</v>
      </c>
      <c r="Q41" t="s">
        <v>35</v>
      </c>
      <c r="R41" t="s">
        <v>30</v>
      </c>
      <c r="T41">
        <v>49137761</v>
      </c>
      <c r="U41">
        <v>86001180</v>
      </c>
      <c r="V41">
        <v>127350</v>
      </c>
    </row>
    <row r="42" spans="1:22" x14ac:dyDescent="0.2">
      <c r="A42">
        <v>326154218</v>
      </c>
      <c r="B42" t="s">
        <v>36</v>
      </c>
      <c r="E42" t="s">
        <v>37</v>
      </c>
      <c r="F42">
        <v>350</v>
      </c>
      <c r="G42" t="s">
        <v>26</v>
      </c>
      <c r="H42" s="1">
        <v>45721.74722222222</v>
      </c>
      <c r="I42" t="str">
        <f>"0265504"</f>
        <v>0265504</v>
      </c>
      <c r="J42">
        <v>5758</v>
      </c>
      <c r="K42" t="str">
        <f>"0130"</f>
        <v>0130</v>
      </c>
      <c r="L42">
        <v>1</v>
      </c>
      <c r="M42" t="s">
        <v>27</v>
      </c>
      <c r="N42" t="s">
        <v>38</v>
      </c>
      <c r="Q42" t="s">
        <v>35</v>
      </c>
      <c r="R42" t="s">
        <v>30</v>
      </c>
      <c r="T42">
        <v>49137859</v>
      </c>
      <c r="U42">
        <v>86001181</v>
      </c>
      <c r="V42">
        <v>127351</v>
      </c>
    </row>
    <row r="43" spans="1:22" x14ac:dyDescent="0.2">
      <c r="A43">
        <v>326659794</v>
      </c>
      <c r="B43" t="s">
        <v>31</v>
      </c>
      <c r="C43" t="s">
        <v>32</v>
      </c>
      <c r="D43" t="s">
        <v>33</v>
      </c>
      <c r="E43" t="s">
        <v>34</v>
      </c>
      <c r="F43">
        <v>50</v>
      </c>
      <c r="G43" t="s">
        <v>26</v>
      </c>
      <c r="H43" s="1">
        <v>45721.749305555553</v>
      </c>
      <c r="I43">
        <v>1375056</v>
      </c>
      <c r="J43" t="str">
        <f>"0674"</f>
        <v>0674</v>
      </c>
      <c r="K43">
        <v>1027</v>
      </c>
      <c r="L43">
        <v>1</v>
      </c>
      <c r="M43" t="s">
        <v>27</v>
      </c>
      <c r="Q43" t="s">
        <v>35</v>
      </c>
      <c r="R43" t="s">
        <v>30</v>
      </c>
      <c r="T43">
        <v>49137975</v>
      </c>
      <c r="U43">
        <v>86001182</v>
      </c>
      <c r="V43">
        <v>127352</v>
      </c>
    </row>
    <row r="44" spans="1:22" x14ac:dyDescent="0.2">
      <c r="B44" t="s">
        <v>22</v>
      </c>
      <c r="C44" t="s">
        <v>23</v>
      </c>
      <c r="D44" t="s">
        <v>24</v>
      </c>
      <c r="E44" t="s">
        <v>25</v>
      </c>
      <c r="F44">
        <v>52</v>
      </c>
      <c r="G44" t="s">
        <v>26</v>
      </c>
      <c r="H44" s="1">
        <v>45721.75</v>
      </c>
      <c r="I44" t="str">
        <f>"0382689"</f>
        <v>0382689</v>
      </c>
      <c r="J44">
        <v>5624</v>
      </c>
      <c r="K44">
        <v>1228</v>
      </c>
      <c r="L44">
        <v>1</v>
      </c>
      <c r="M44" t="s">
        <v>27</v>
      </c>
      <c r="N44" t="s">
        <v>28</v>
      </c>
      <c r="Q44" t="s">
        <v>29</v>
      </c>
      <c r="R44" t="s">
        <v>30</v>
      </c>
      <c r="T44">
        <v>49138001</v>
      </c>
      <c r="U44">
        <v>86001183</v>
      </c>
      <c r="V44">
        <v>127353</v>
      </c>
    </row>
  </sheetData>
  <autoFilter ref="A1:V44">
    <sortState ref="A2:V44">
      <sortCondition ref="H1:H4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ExportHistory_01.03.25_05.03.25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batshi_k</dc:creator>
  <cp:lastModifiedBy>batshi_k</cp:lastModifiedBy>
  <dcterms:created xsi:type="dcterms:W3CDTF">2025-03-05T16:03:42Z</dcterms:created>
  <dcterms:modified xsi:type="dcterms:W3CDTF">2025-03-05T16:03:42Z</dcterms:modified>
</cp:coreProperties>
</file>