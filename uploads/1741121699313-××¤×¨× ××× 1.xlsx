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39BF075-352B-4476-B030-149EA0C594D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xportHistory_28.02.25_04.03.25" sheetId="1" r:id="rId1"/>
  </sheets>
  <definedNames>
    <definedName name="_xlnm._FilterDatabase" localSheetId="0" hidden="1">'ExportHistory_28.02.25_04.03.25'!$A$1:$V$7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I2" i="1"/>
  <c r="K2" i="1"/>
  <c r="K3" i="1"/>
  <c r="J4" i="1"/>
  <c r="K4" i="1"/>
  <c r="K5" i="1"/>
  <c r="K6" i="1"/>
  <c r="J7" i="1"/>
</calcChain>
</file>

<file path=xl/sharedStrings.xml><?xml version="1.0" encoding="utf-8"?>
<sst xmlns="http://schemas.openxmlformats.org/spreadsheetml/2006/main" count="71" uniqueCount="51">
  <si>
    <t>מספר זהות</t>
  </si>
  <si>
    <t>שם</t>
  </si>
  <si>
    <t>כתובת</t>
  </si>
  <si>
    <t>טלפון</t>
  </si>
  <si>
    <t>מייל</t>
  </si>
  <si>
    <t>סכום</t>
  </si>
  <si>
    <t>מטבע</t>
  </si>
  <si>
    <t>תאריך עסקה</t>
  </si>
  <si>
    <t>מספר אישור</t>
  </si>
  <si>
    <t>4 ספרות אחרונות</t>
  </si>
  <si>
    <t>תוקף</t>
  </si>
  <si>
    <t>תשלומים</t>
  </si>
  <si>
    <t>קטגוריה</t>
  </si>
  <si>
    <t>הערות</t>
  </si>
  <si>
    <t>שם מסוף</t>
  </si>
  <si>
    <t>מספר מסוף</t>
  </si>
  <si>
    <t>מותג</t>
  </si>
  <si>
    <t>חברה סולקת</t>
  </si>
  <si>
    <t>מספר הו"ק</t>
  </si>
  <si>
    <t>מספר עסקה</t>
  </si>
  <si>
    <t>מספר שובר</t>
  </si>
  <si>
    <t>מספר קבלה</t>
  </si>
  <si>
    <t>נחמה אדלר</t>
  </si>
  <si>
    <t>רב סעדיה גאון, 19, 19 בני ברק</t>
  </si>
  <si>
    <t>052-7609872</t>
  </si>
  <si>
    <t>nead613@gmail.com</t>
  </si>
  <si>
    <t>שקל</t>
  </si>
  <si>
    <t>קמפיין הכנסת כלה תשפ"ה</t>
  </si>
  <si>
    <t>נעמי רוט</t>
  </si>
  <si>
    <t>ויזה</t>
  </si>
  <si>
    <t>ישראכרט</t>
  </si>
  <si>
    <t>שירה רוזנברג</t>
  </si>
  <si>
    <t>המייסדים קריית אתא</t>
  </si>
  <si>
    <t>054-8592162</t>
  </si>
  <si>
    <t>shirr2162@gmail.com</t>
  </si>
  <si>
    <t>מטי יוליס</t>
  </si>
  <si>
    <t>מסטרכרד</t>
  </si>
  <si>
    <t>מוריה מזוז</t>
  </si>
  <si>
    <t>אשחר 7 מעלות</t>
  </si>
  <si>
    <t>morimazuz@gmail.com</t>
  </si>
  <si>
    <t>טובי לוין</t>
  </si>
  <si>
    <t>פינסקר 36 חיפה</t>
  </si>
  <si>
    <t>052-3550272</t>
  </si>
  <si>
    <t>tovil0504@gmail.com</t>
  </si>
  <si>
    <t xml:space="preserve">קרול מזרחי </t>
  </si>
  <si>
    <t>פנמה פנמה</t>
  </si>
  <si>
    <t>carolofakim22@gmail.com</t>
  </si>
  <si>
    <t>דולר</t>
  </si>
  <si>
    <t xml:space="preserve">קרול מזרחי, תודה על הזכות! </t>
  </si>
  <si>
    <t xml:space="preserve">יואל ברנע </t>
  </si>
  <si>
    <t>yoelbarnea1@gmail.com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</si>
</sst>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"/>
  <sheetViews>
    <sheetView rightToLeft="1" tabSelected="1" workbookViewId="0">
      <selection activeCell="H11" sqref="H11"/>
    </sheetView>
  </sheetViews>
  <sheetFormatPr defaultRowHeight="14.25" x14ac:dyDescent="0.2"/>
  <cols>
    <col min="1" max="1" width="9.875" bestFit="1" customWidth="1"/>
    <col min="8" max="8" width="15" bestFit="1" customWidth="1"/>
    <col min="9" max="9" width="9.625" bestFit="1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 t="str">
        <f>"022959191"</f>
        <v>022959191</v>
      </c>
      <c r="B2" t="s">
        <v>22</v>
      </c>
      <c r="C2" t="s">
        <v>23</v>
      </c>
      <c r="D2" t="s">
        <v>24</v>
      </c>
      <c r="E2" t="s">
        <v>25</v>
      </c>
      <c r="F2">
        <v>100</v>
      </c>
      <c r="G2" t="s">
        <v>26</v>
      </c>
      <c r="H2" s="1">
        <v>45720.92291666667</v>
      </c>
      <c r="I2" t="str">
        <f>"0955807"</f>
        <v>0955807</v>
      </c>
      <c r="J2">
        <v>3480</v>
      </c>
      <c r="K2" t="str">
        <f>"0826"</f>
        <v>0826</v>
      </c>
      <c r="L2">
        <v>1</v>
      </c>
      <c r="M2" t="s">
        <v>27</v>
      </c>
      <c r="N2" t="s">
        <v>28</v>
      </c>
      <c r="Q2" t="s">
        <v>29</v>
      </c>
      <c r="R2" t="s">
        <v>30</v>
      </c>
      <c r="T2">
        <v>49089098</v>
      </c>
      <c r="U2">
        <v>85001012</v>
      </c>
      <c r="V2">
        <v>127174</v>
      </c>
    </row>
    <row r="3" spans="1:22" x14ac:dyDescent="0.2">
      <c r="A3">
        <v>328355508</v>
      </c>
      <c r="B3" t="s">
        <v>31</v>
      </c>
      <c r="C3" t="s">
        <v>32</v>
      </c>
      <c r="D3" t="s">
        <v>33</v>
      </c>
      <c r="E3" t="s">
        <v>34</v>
      </c>
      <c r="F3">
        <v>100</v>
      </c>
      <c r="G3" t="s">
        <v>26</v>
      </c>
      <c r="H3" s="1">
        <v>45720.875</v>
      </c>
      <c r="I3">
        <v>6582191</v>
      </c>
      <c r="J3">
        <v>2300</v>
      </c>
      <c r="K3" t="str">
        <f>"0330"</f>
        <v>0330</v>
      </c>
      <c r="L3">
        <v>1</v>
      </c>
      <c r="M3" t="s">
        <v>27</v>
      </c>
      <c r="N3" t="s">
        <v>35</v>
      </c>
      <c r="Q3" t="s">
        <v>36</v>
      </c>
      <c r="R3" t="s">
        <v>30</v>
      </c>
      <c r="T3">
        <v>49086578</v>
      </c>
      <c r="U3">
        <v>85001011</v>
      </c>
      <c r="V3">
        <v>127173</v>
      </c>
    </row>
    <row r="4" spans="1:22" x14ac:dyDescent="0.2">
      <c r="A4">
        <v>213533250</v>
      </c>
      <c r="B4" t="s">
        <v>37</v>
      </c>
      <c r="C4" t="s">
        <v>38</v>
      </c>
      <c r="E4" t="s">
        <v>39</v>
      </c>
      <c r="F4">
        <v>200</v>
      </c>
      <c r="G4" t="s">
        <v>26</v>
      </c>
      <c r="H4" s="1">
        <v>45720.868055555555</v>
      </c>
      <c r="I4">
        <v>6538145</v>
      </c>
      <c r="J4" t="str">
        <f>"0054"</f>
        <v>0054</v>
      </c>
      <c r="K4" t="str">
        <f>"0830"</f>
        <v>0830</v>
      </c>
      <c r="L4">
        <v>1</v>
      </c>
      <c r="M4" t="s">
        <v>27</v>
      </c>
      <c r="N4" t="s">
        <v>35</v>
      </c>
      <c r="Q4" t="s">
        <v>36</v>
      </c>
      <c r="R4" t="s">
        <v>30</v>
      </c>
      <c r="T4">
        <v>49086268</v>
      </c>
      <c r="U4">
        <v>85001010</v>
      </c>
      <c r="V4">
        <v>127172</v>
      </c>
    </row>
    <row r="5" spans="1:22" x14ac:dyDescent="0.2">
      <c r="A5">
        <v>215444340</v>
      </c>
      <c r="B5" t="s">
        <v>40</v>
      </c>
      <c r="C5" t="s">
        <v>41</v>
      </c>
      <c r="D5" t="s">
        <v>42</v>
      </c>
      <c r="E5" t="s">
        <v>43</v>
      </c>
      <c r="F5">
        <v>45</v>
      </c>
      <c r="G5" t="s">
        <v>26</v>
      </c>
      <c r="H5" s="1">
        <v>45720.84097222222</v>
      </c>
      <c r="I5">
        <v>6353551</v>
      </c>
      <c r="J5">
        <v>7282</v>
      </c>
      <c r="K5" t="str">
        <f>"0629"</f>
        <v>0629</v>
      </c>
      <c r="L5">
        <v>1</v>
      </c>
      <c r="M5" t="s">
        <v>27</v>
      </c>
      <c r="N5" t="s">
        <v>35</v>
      </c>
      <c r="Q5" t="s">
        <v>36</v>
      </c>
      <c r="R5" t="s">
        <v>30</v>
      </c>
      <c r="T5">
        <v>49085072</v>
      </c>
      <c r="U5">
        <v>85001009</v>
      </c>
      <c r="V5">
        <v>127171</v>
      </c>
    </row>
    <row r="6" spans="1:22" x14ac:dyDescent="0.2">
      <c r="A6">
        <v>170358905</v>
      </c>
      <c r="B6" t="s">
        <v>44</v>
      </c>
      <c r="C6" t="s">
        <v>45</v>
      </c>
      <c r="D6">
        <v>50765363538</v>
      </c>
      <c r="E6" t="s">
        <v>46</v>
      </c>
      <c r="F6">
        <v>259</v>
      </c>
      <c r="G6" t="s">
        <v>47</v>
      </c>
      <c r="H6" s="1">
        <v>45719.13958333333</v>
      </c>
      <c r="I6">
        <v>567358</v>
      </c>
      <c r="J6">
        <v>9610</v>
      </c>
      <c r="K6" t="str">
        <f>"0427"</f>
        <v>0427</v>
      </c>
      <c r="L6">
        <v>1</v>
      </c>
      <c r="M6" t="s">
        <v>27</v>
      </c>
      <c r="N6" t="s">
        <v>48</v>
      </c>
      <c r="Q6" t="s">
        <v>29</v>
      </c>
      <c r="R6" t="s">
        <v>30</v>
      </c>
      <c r="T6">
        <v>49014686</v>
      </c>
      <c r="U6">
        <v>83001016</v>
      </c>
      <c r="V6">
        <v>127168</v>
      </c>
    </row>
    <row r="7" spans="1:22" x14ac:dyDescent="0.2">
      <c r="B7" t="s">
        <v>49</v>
      </c>
      <c r="E7" t="s">
        <v>50</v>
      </c>
      <c r="F7">
        <v>78</v>
      </c>
      <c r="G7" t="s">
        <v>26</v>
      </c>
      <c r="H7" s="1">
        <v>45716.537499999999</v>
      </c>
      <c r="I7">
        <v>3872912</v>
      </c>
      <c r="J7" t="str">
        <f>"0644"</f>
        <v>0644</v>
      </c>
      <c r="K7">
        <v>1126</v>
      </c>
      <c r="L7">
        <v>1</v>
      </c>
      <c r="M7" t="s">
        <v>27</v>
      </c>
      <c r="Q7" t="s">
        <v>36</v>
      </c>
      <c r="R7" t="s">
        <v>30</v>
      </c>
      <c r="T7">
        <v>48878846</v>
      </c>
      <c r="U7">
        <v>81001002</v>
      </c>
      <c r="V7">
        <v>127165</v>
      </c>
    </row>
  </sheetData>
  <autoFilter ref="A1:V7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ExportHistory_28.02.25_04.03.25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2025-03-04T20:20:25Z</dcterms:created>
  <dcterms:modified xsi:type="dcterms:W3CDTF">2025-03-04T20:54:27Z</dcterms:modified>
</cp:coreProperties>
</file>