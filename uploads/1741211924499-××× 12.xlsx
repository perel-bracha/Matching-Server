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8_{D88D5523-94FB-43BE-B310-FEF2CFCD11DE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ExportHistory_01.03.25_05.03.25!$A$1:$V$28</definedName>
  </definedNames>
  <calcPr calcId="0"/>
</workbook>
</file>

<file path=xl/calcChain.xml><?xml version="1.0" encoding="utf-8"?>
<calcChain xmlns="http://schemas.openxmlformats.org/spreadsheetml/2006/main">
  <c r="K28" i="1" l="1"/>
  <c r="K27" i="1"/>
  <c r="I25" i="1"/>
  <c r="I26" i="1"/>
  <c r="K26" i="1"/>
  <c r="I24" i="1"/>
  <c r="J24" i="1"/>
  <c r="K23" i="1"/>
  <c r="K21" i="1"/>
  <c r="K22" i="1"/>
  <c r="J19" i="1"/>
  <c r="K19" i="1"/>
  <c r="K16" i="1"/>
  <c r="I17" i="1"/>
  <c r="K15" i="1"/>
  <c r="C14" i="1"/>
  <c r="K14" i="1"/>
  <c r="K12" i="1"/>
  <c r="J13" i="1"/>
  <c r="K10" i="1"/>
  <c r="I11" i="1"/>
  <c r="K11" i="1"/>
  <c r="I9" i="1"/>
  <c r="I7" i="1"/>
  <c r="K7" i="1"/>
  <c r="I6" i="1"/>
  <c r="K6" i="1"/>
  <c r="I4" i="1"/>
  <c r="I5" i="1"/>
  <c r="A2" i="1"/>
  <c r="A3" i="1"/>
  <c r="K3" i="1"/>
</calcChain>
</file>

<file path=xl/sharedStrings.xml><?xml version="1.0" encoding="utf-8"?>
<sst xmlns="http://schemas.openxmlformats.org/spreadsheetml/2006/main" count="215" uniqueCount="109">
  <si>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</si>
  <si>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</si>
  <si>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</si>
  <si>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</si>
  <si>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</si>
  <si>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</si>
  <si>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</si>
  <si>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</si>
  <si>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</si>
  <si>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</si>
  <si>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</si>
  <si>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</si>
  <si>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</si>
  <si>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</si>
  <si>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</si>
  <si>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</si>
  <si>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</si>
  <si>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</si>
  <si>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</si>
  <si>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</si>
  <si>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</si>
  <si>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</si>
  <si>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ליאל חנין</t>
  </si>
  <si>
    <t>שקל</t>
  </si>
  <si>
    <t>קמפיין הכנסת כלה תשפ"ה</t>
  </si>
  <si>
    <t>הודיה שלום</t>
  </si>
  <si>
    <t>ויזה</t>
  </si>
  <si>
    <t>ישראכרט</t>
  </si>
  <si>
    <t>Zev weisberg</t>
  </si>
  <si>
    <t>Yam suf 3/12 Jerusalem</t>
  </si>
  <si>
    <t>055-3324522</t>
  </si>
  <si>
    <t>zeviweisberg@gmail.com</t>
  </si>
  <si>
    <t>שושנה שפירא</t>
  </si>
  <si>
    <t>מסטרכרד</t>
  </si>
  <si>
    <t>שירלי אטל</t>
  </si>
  <si>
    <t>שרה לאה בנג'ו</t>
  </si>
  <si>
    <t>אילה גבאי</t>
  </si>
  <si>
    <t>1551 הטייסים אופקים</t>
  </si>
  <si>
    <t>053-3172582</t>
  </si>
  <si>
    <t>ayalaganon@gmail.com</t>
  </si>
  <si>
    <t>שם המתרימה: שרה לוי שנה ב'</t>
  </si>
  <si>
    <t>ליאל פהחרי</t>
  </si>
  <si>
    <t>הדר דהן</t>
  </si>
  <si>
    <t>ברכה גייקובס</t>
  </si>
  <si>
    <t>נעמי זינר</t>
  </si>
  <si>
    <t>חנה</t>
  </si>
  <si>
    <t>מלכה גלר</t>
  </si>
  <si>
    <t>רבקה שנקר</t>
  </si>
  <si>
    <t>יהודית צאלים</t>
  </si>
  <si>
    <t>קפלן!!!!</t>
  </si>
  <si>
    <t>נחל לכיש 21 בית שמש</t>
  </si>
  <si>
    <t>052-7106491</t>
  </si>
  <si>
    <t>gilikap123@gmail.com</t>
  </si>
  <si>
    <t>הותרם ע"י שושנה קרביץ.   כל הכבוד לכם, ותודה על הזכות!      המון הצלחה! 😍  גילי.</t>
  </si>
  <si>
    <t>שלמה מונסונגו</t>
  </si>
  <si>
    <t>מרים מונסונגו</t>
  </si>
  <si>
    <t>אביגיל צדיק</t>
  </si>
  <si>
    <t>תמר סלר</t>
  </si>
  <si>
    <t>רבי עקיבא 54 א בני ברק</t>
  </si>
  <si>
    <t>055-6746579</t>
  </si>
  <si>
    <t>t0556746579@gmail.com</t>
  </si>
  <si>
    <t>על ידי אפרת זוננטל תח"י</t>
  </si>
  <si>
    <t>העברה בקליק</t>
  </si>
  <si>
    <t>יעל אבנד</t>
  </si>
  <si>
    <t>15 מיכליו, 1 ירושלים</t>
  </si>
  <si>
    <t>058-6666779</t>
  </si>
  <si>
    <t>yaelle911@hotmail.com</t>
  </si>
  <si>
    <t>אליענה אבנד</t>
  </si>
  <si>
    <t>רבקה שנקר0.</t>
  </si>
  <si>
    <t>העסקה בוטלה לפני השידור</t>
  </si>
  <si>
    <t>שטרייכער יהושע</t>
  </si>
  <si>
    <t>machal 10 apt. 27 jerusalem</t>
  </si>
  <si>
    <t>02-5323351</t>
  </si>
  <si>
    <t>joshuastrajcher@gmail.com</t>
  </si>
  <si>
    <t>תהילה שטרייכער #1   באהבה רבה מאבא ואמא</t>
  </si>
  <si>
    <t>דלי בצלאל</t>
  </si>
  <si>
    <t>פרידה</t>
  </si>
  <si>
    <t xml:space="preserve">נדין בראונר </t>
  </si>
  <si>
    <t xml:space="preserve">ערבה 2  עלי זהב </t>
  </si>
  <si>
    <t>054-7833552</t>
  </si>
  <si>
    <t>nadz14@gmail.com</t>
  </si>
  <si>
    <t>ויזל שירה</t>
  </si>
  <si>
    <t>חכמי יוסף 49 ירושלים</t>
  </si>
  <si>
    <t>053-3100773</t>
  </si>
  <si>
    <t>s0533100773@gmail.com</t>
  </si>
  <si>
    <t>מלבר</t>
  </si>
  <si>
    <t>דולר</t>
  </si>
  <si>
    <t xml:space="preserve"> 05398D</t>
  </si>
  <si>
    <t>אסתי ירמוש</t>
  </si>
  <si>
    <t>נתן</t>
  </si>
  <si>
    <t>מרים גילרם</t>
  </si>
  <si>
    <t>רחלי ויסמאן</t>
  </si>
  <si>
    <t>דסי  פעלד</t>
  </si>
  <si>
    <t>יוסף עמר</t>
  </si>
  <si>
    <t>מילכה עמר</t>
  </si>
  <si>
    <t>תמר ברמן</t>
  </si>
  <si>
    <t>מנחם  בני ברק</t>
  </si>
  <si>
    <t>054-8505896</t>
  </si>
  <si>
    <t>t0548505896@gmail.com</t>
  </si>
  <si>
    <t>הני כהן</t>
  </si>
  <si>
    <t>שרה ורדי</t>
  </si>
  <si>
    <t>5 נודע ביהודה מודיעין עילית</t>
  </si>
  <si>
    <t>052-7607121</t>
  </si>
  <si>
    <t>sarivrd@gmail.com</t>
  </si>
  <si>
    <t>תמר אביב</t>
  </si>
  <si>
    <t>רוט חוה</t>
  </si>
  <si>
    <t>אברהם בן דוד 17 בני ברק</t>
  </si>
  <si>
    <t>050-4155554</t>
  </si>
  <si>
    <t>לאה פלמן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</si>
</sst>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rightToLeft="1" tabSelected="1" workbookViewId="0">
      <selection activeCell="J33" sqref="J33"/>
    </sheetView>
  </sheetViews>
  <sheetFormatPr defaultRowHeight="14.25" x14ac:dyDescent="0.2"/>
  <cols>
    <col min="1" max="1" width="11.125" bestFit="1" customWidth="1"/>
    <col min="2" max="2" width="22.625" bestFit="1" customWidth="1"/>
    <col min="3" max="3" width="57.875" bestFit="1" customWidth="1"/>
    <col min="4" max="4" width="14" bestFit="1" customWidth="1"/>
    <col min="5" max="5" width="29" bestFit="1" customWidth="1"/>
    <col min="6" max="6" width="6.8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20" bestFit="1" customWidth="1"/>
    <col min="14" max="14" width="77" bestFit="1" customWidth="1"/>
    <col min="15" max="15" width="37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tr">
        <f>"057346538"</f>
        <v>057346538</v>
      </c>
      <c r="B2" t="s">
        <v>100</v>
      </c>
      <c r="C2" t="s">
        <v>101</v>
      </c>
      <c r="D2" t="s">
        <v>102</v>
      </c>
      <c r="E2" t="s">
        <v>103</v>
      </c>
      <c r="F2">
        <v>180</v>
      </c>
      <c r="G2" t="s">
        <v>23</v>
      </c>
      <c r="H2" s="1">
        <v>45721.972222222219</v>
      </c>
      <c r="I2">
        <v>2861879</v>
      </c>
      <c r="J2">
        <v>2152</v>
      </c>
      <c r="K2">
        <v>1027</v>
      </c>
      <c r="L2">
        <v>1</v>
      </c>
      <c r="M2" t="s">
        <v>24</v>
      </c>
      <c r="N2" t="s">
        <v>104</v>
      </c>
      <c r="Q2" t="s">
        <v>33</v>
      </c>
      <c r="R2" t="s">
        <v>27</v>
      </c>
      <c r="T2">
        <v>49151470</v>
      </c>
      <c r="U2">
        <v>86001543</v>
      </c>
      <c r="V2">
        <v>127722</v>
      </c>
    </row>
    <row r="3" spans="1:22" x14ac:dyDescent="0.2">
      <c r="A3" t="str">
        <f>"025701335"</f>
        <v>025701335</v>
      </c>
      <c r="B3" t="s">
        <v>105</v>
      </c>
      <c r="C3" t="s">
        <v>106</v>
      </c>
      <c r="D3" t="s">
        <v>107</v>
      </c>
      <c r="F3">
        <v>300</v>
      </c>
      <c r="G3" t="s">
        <v>23</v>
      </c>
      <c r="H3" s="1">
        <v>45721.972222222219</v>
      </c>
      <c r="I3">
        <v>2861123</v>
      </c>
      <c r="J3">
        <v>3384</v>
      </c>
      <c r="K3" t="str">
        <f>"0429"</f>
        <v>0429</v>
      </c>
      <c r="L3">
        <v>1</v>
      </c>
      <c r="M3" t="s">
        <v>24</v>
      </c>
      <c r="N3" t="s">
        <v>108</v>
      </c>
      <c r="Q3" t="s">
        <v>33</v>
      </c>
      <c r="R3" t="s">
        <v>27</v>
      </c>
      <c r="T3">
        <v>49151463</v>
      </c>
      <c r="U3">
        <v>86001542</v>
      </c>
      <c r="V3">
        <v>127721</v>
      </c>
    </row>
    <row r="4" spans="1:22" x14ac:dyDescent="0.2">
      <c r="B4" t="s">
        <v>93</v>
      </c>
      <c r="F4">
        <v>100</v>
      </c>
      <c r="G4" t="s">
        <v>23</v>
      </c>
      <c r="H4" s="1">
        <v>45721.972916666666</v>
      </c>
      <c r="I4" t="str">
        <f>"0078154"</f>
        <v>0078154</v>
      </c>
      <c r="J4">
        <v>6096</v>
      </c>
      <c r="K4">
        <v>1228</v>
      </c>
      <c r="L4">
        <v>1</v>
      </c>
      <c r="M4" t="s">
        <v>24</v>
      </c>
      <c r="N4" t="s">
        <v>94</v>
      </c>
      <c r="Q4" t="s">
        <v>33</v>
      </c>
      <c r="R4" t="s">
        <v>27</v>
      </c>
      <c r="T4">
        <v>49151502</v>
      </c>
      <c r="U4">
        <v>86001545</v>
      </c>
      <c r="V4">
        <v>127724</v>
      </c>
    </row>
    <row r="5" spans="1:22" x14ac:dyDescent="0.2">
      <c r="A5">
        <v>328433446</v>
      </c>
      <c r="B5" t="s">
        <v>95</v>
      </c>
      <c r="C5" t="s">
        <v>96</v>
      </c>
      <c r="D5" t="s">
        <v>97</v>
      </c>
      <c r="E5" t="s">
        <v>98</v>
      </c>
      <c r="F5">
        <v>50</v>
      </c>
      <c r="G5" t="s">
        <v>23</v>
      </c>
      <c r="H5" s="1">
        <v>45721.972916666666</v>
      </c>
      <c r="I5" t="str">
        <f>"0074971"</f>
        <v>0074971</v>
      </c>
      <c r="J5">
        <v>4276</v>
      </c>
      <c r="K5">
        <v>1225</v>
      </c>
      <c r="L5">
        <v>1</v>
      </c>
      <c r="M5" t="s">
        <v>24</v>
      </c>
      <c r="N5" t="s">
        <v>99</v>
      </c>
      <c r="Q5" t="s">
        <v>26</v>
      </c>
      <c r="R5" t="s">
        <v>27</v>
      </c>
      <c r="T5">
        <v>49151495</v>
      </c>
      <c r="U5">
        <v>86001544</v>
      </c>
      <c r="V5">
        <v>127723</v>
      </c>
    </row>
    <row r="6" spans="1:22" x14ac:dyDescent="0.2">
      <c r="B6" t="s">
        <v>91</v>
      </c>
      <c r="F6">
        <v>100</v>
      </c>
      <c r="G6" t="s">
        <v>23</v>
      </c>
      <c r="H6" s="1">
        <v>45721.974305555559</v>
      </c>
      <c r="I6" t="str">
        <f>"0093484"</f>
        <v>0093484</v>
      </c>
      <c r="J6">
        <v>9287</v>
      </c>
      <c r="K6" t="str">
        <f>"0630"</f>
        <v>0630</v>
      </c>
      <c r="L6">
        <v>1</v>
      </c>
      <c r="M6" t="s">
        <v>24</v>
      </c>
      <c r="N6" t="s">
        <v>92</v>
      </c>
      <c r="Q6" t="s">
        <v>33</v>
      </c>
      <c r="R6" t="s">
        <v>27</v>
      </c>
      <c r="T6">
        <v>49151552</v>
      </c>
      <c r="U6">
        <v>86001546</v>
      </c>
      <c r="V6">
        <v>127725</v>
      </c>
    </row>
    <row r="7" spans="1:22" x14ac:dyDescent="0.2">
      <c r="B7" t="s">
        <v>89</v>
      </c>
      <c r="F7">
        <v>20</v>
      </c>
      <c r="G7" t="s">
        <v>23</v>
      </c>
      <c r="H7" s="1">
        <v>45721.974999999999</v>
      </c>
      <c r="I7" t="str">
        <f>"0100248"</f>
        <v>0100248</v>
      </c>
      <c r="J7">
        <v>1108</v>
      </c>
      <c r="K7" t="str">
        <f>"0530"</f>
        <v>0530</v>
      </c>
      <c r="L7">
        <v>1</v>
      </c>
      <c r="M7" t="s">
        <v>24</v>
      </c>
      <c r="N7" t="s">
        <v>90</v>
      </c>
      <c r="Q7" t="s">
        <v>26</v>
      </c>
      <c r="R7" t="s">
        <v>27</v>
      </c>
      <c r="T7">
        <v>49151580</v>
      </c>
      <c r="U7">
        <v>86001547</v>
      </c>
      <c r="V7">
        <v>127726</v>
      </c>
    </row>
    <row r="8" spans="1:22" x14ac:dyDescent="0.2">
      <c r="B8" t="s">
        <v>85</v>
      </c>
      <c r="F8">
        <v>50</v>
      </c>
      <c r="G8" t="s">
        <v>86</v>
      </c>
      <c r="H8" s="1">
        <v>45721.975694444445</v>
      </c>
      <c r="I8" t="s">
        <v>87</v>
      </c>
      <c r="J8">
        <v>6342</v>
      </c>
      <c r="K8">
        <v>1028</v>
      </c>
      <c r="L8">
        <v>1</v>
      </c>
      <c r="M8" t="s">
        <v>24</v>
      </c>
      <c r="N8" t="s">
        <v>88</v>
      </c>
      <c r="Q8" t="s">
        <v>26</v>
      </c>
      <c r="R8" t="s">
        <v>27</v>
      </c>
      <c r="T8">
        <v>49151597</v>
      </c>
      <c r="U8">
        <v>86001548</v>
      </c>
      <c r="V8">
        <v>127727</v>
      </c>
    </row>
    <row r="9" spans="1:22" x14ac:dyDescent="0.2">
      <c r="A9">
        <v>329330070</v>
      </c>
      <c r="B9" t="s">
        <v>81</v>
      </c>
      <c r="C9" t="s">
        <v>82</v>
      </c>
      <c r="D9" t="s">
        <v>83</v>
      </c>
      <c r="E9" t="s">
        <v>84</v>
      </c>
      <c r="F9">
        <v>100</v>
      </c>
      <c r="G9" t="s">
        <v>23</v>
      </c>
      <c r="H9" s="1">
        <v>45721.976388888892</v>
      </c>
      <c r="I9" t="str">
        <f>"0000000"</f>
        <v>0000000</v>
      </c>
      <c r="J9">
        <v>4567</v>
      </c>
      <c r="L9">
        <v>1</v>
      </c>
      <c r="M9" t="s">
        <v>24</v>
      </c>
      <c r="N9" t="s">
        <v>32</v>
      </c>
      <c r="Q9" t="s">
        <v>62</v>
      </c>
      <c r="R9">
        <v>30</v>
      </c>
      <c r="T9">
        <v>49151657</v>
      </c>
      <c r="V9">
        <v>127728</v>
      </c>
    </row>
    <row r="10" spans="1:22" x14ac:dyDescent="0.2">
      <c r="B10" t="s">
        <v>76</v>
      </c>
      <c r="F10">
        <v>20</v>
      </c>
      <c r="G10" t="s">
        <v>23</v>
      </c>
      <c r="H10" s="1">
        <v>45721.978472222225</v>
      </c>
      <c r="I10">
        <v>2876872</v>
      </c>
      <c r="J10">
        <v>9361</v>
      </c>
      <c r="K10" t="str">
        <f>"0730"</f>
        <v>0730</v>
      </c>
      <c r="L10">
        <v>1</v>
      </c>
      <c r="M10" t="s">
        <v>24</v>
      </c>
      <c r="N10" t="s">
        <v>46</v>
      </c>
      <c r="Q10" t="s">
        <v>26</v>
      </c>
      <c r="R10" t="s">
        <v>27</v>
      </c>
      <c r="T10">
        <v>49151724</v>
      </c>
      <c r="U10">
        <v>86001550</v>
      </c>
      <c r="V10">
        <v>127730</v>
      </c>
    </row>
    <row r="11" spans="1:22" x14ac:dyDescent="0.2">
      <c r="A11">
        <v>326809159</v>
      </c>
      <c r="B11" t="s">
        <v>77</v>
      </c>
      <c r="C11" t="s">
        <v>78</v>
      </c>
      <c r="D11" t="s">
        <v>79</v>
      </c>
      <c r="E11" t="s">
        <v>80</v>
      </c>
      <c r="F11">
        <v>100</v>
      </c>
      <c r="G11" t="s">
        <v>23</v>
      </c>
      <c r="H11" s="1">
        <v>45721.978472222225</v>
      </c>
      <c r="I11" t="str">
        <f>"0137687"</f>
        <v>0137687</v>
      </c>
      <c r="J11">
        <v>5883</v>
      </c>
      <c r="K11" t="str">
        <f>"0327"</f>
        <v>0327</v>
      </c>
      <c r="L11">
        <v>1</v>
      </c>
      <c r="M11" t="s">
        <v>24</v>
      </c>
      <c r="N11" t="s">
        <v>67</v>
      </c>
      <c r="Q11" t="s">
        <v>26</v>
      </c>
      <c r="R11" t="s">
        <v>27</v>
      </c>
      <c r="T11">
        <v>49151719</v>
      </c>
      <c r="U11">
        <v>86001549</v>
      </c>
      <c r="V11">
        <v>127729</v>
      </c>
    </row>
    <row r="12" spans="1:22" x14ac:dyDescent="0.2">
      <c r="A12">
        <v>317931517</v>
      </c>
      <c r="B12" t="s">
        <v>70</v>
      </c>
      <c r="C12" t="s">
        <v>71</v>
      </c>
      <c r="D12" t="s">
        <v>72</v>
      </c>
      <c r="E12" t="s">
        <v>73</v>
      </c>
      <c r="F12">
        <v>180</v>
      </c>
      <c r="G12" t="s">
        <v>23</v>
      </c>
      <c r="H12" s="1">
        <v>45721.981249999997</v>
      </c>
      <c r="I12">
        <v>2883003</v>
      </c>
      <c r="J12">
        <v>9831</v>
      </c>
      <c r="K12" t="str">
        <f>"0926"</f>
        <v>0926</v>
      </c>
      <c r="L12">
        <v>1</v>
      </c>
      <c r="M12" t="s">
        <v>24</v>
      </c>
      <c r="N12" t="s">
        <v>74</v>
      </c>
      <c r="Q12" t="s">
        <v>33</v>
      </c>
      <c r="R12" t="s">
        <v>27</v>
      </c>
      <c r="T12">
        <v>49151796</v>
      </c>
      <c r="U12">
        <v>86001552</v>
      </c>
      <c r="V12">
        <v>127732</v>
      </c>
    </row>
    <row r="13" spans="1:22" x14ac:dyDescent="0.2">
      <c r="A13">
        <v>327519294</v>
      </c>
      <c r="B13" t="s">
        <v>75</v>
      </c>
      <c r="F13">
        <v>210</v>
      </c>
      <c r="G13" t="s">
        <v>23</v>
      </c>
      <c r="H13" s="1">
        <v>45721.981249999997</v>
      </c>
      <c r="I13">
        <v>8307</v>
      </c>
      <c r="J13" t="str">
        <f>"0520"</f>
        <v>0520</v>
      </c>
      <c r="K13">
        <v>1130</v>
      </c>
      <c r="L13">
        <v>1</v>
      </c>
      <c r="M13" t="s">
        <v>24</v>
      </c>
      <c r="N13" t="s">
        <v>75</v>
      </c>
      <c r="Q13" t="s">
        <v>26</v>
      </c>
      <c r="R13" t="s">
        <v>27</v>
      </c>
      <c r="T13">
        <v>49151794</v>
      </c>
      <c r="U13">
        <v>86001551</v>
      </c>
      <c r="V13">
        <v>127731</v>
      </c>
    </row>
    <row r="14" spans="1:22" x14ac:dyDescent="0.2">
      <c r="B14" t="s">
        <v>68</v>
      </c>
      <c r="C14" t="str">
        <f>"0"</f>
        <v>0</v>
      </c>
      <c r="F14">
        <v>0</v>
      </c>
      <c r="G14" t="s">
        <v>23</v>
      </c>
      <c r="H14" s="1">
        <v>45721.982638888891</v>
      </c>
      <c r="I14">
        <v>2887223</v>
      </c>
      <c r="J14">
        <v>8070</v>
      </c>
      <c r="K14" t="str">
        <f>"0327"</f>
        <v>0327</v>
      </c>
      <c r="L14">
        <v>1</v>
      </c>
      <c r="M14" t="s">
        <v>24</v>
      </c>
      <c r="N14" t="s">
        <v>69</v>
      </c>
      <c r="Q14" t="s">
        <v>26</v>
      </c>
      <c r="R14" t="s">
        <v>27</v>
      </c>
      <c r="T14">
        <v>49151871</v>
      </c>
      <c r="U14">
        <v>86001553</v>
      </c>
    </row>
    <row r="15" spans="1:22" x14ac:dyDescent="0.2">
      <c r="A15">
        <v>329447854</v>
      </c>
      <c r="B15" t="s">
        <v>63</v>
      </c>
      <c r="C15" t="s">
        <v>64</v>
      </c>
      <c r="D15" t="s">
        <v>65</v>
      </c>
      <c r="E15" t="s">
        <v>66</v>
      </c>
      <c r="F15">
        <v>300</v>
      </c>
      <c r="G15" t="s">
        <v>23</v>
      </c>
      <c r="H15" s="1">
        <v>45721.98333333333</v>
      </c>
      <c r="I15">
        <v>9746</v>
      </c>
      <c r="J15">
        <v>9422</v>
      </c>
      <c r="K15" t="str">
        <f>"0630"</f>
        <v>0630</v>
      </c>
      <c r="L15">
        <v>1</v>
      </c>
      <c r="M15" t="s">
        <v>24</v>
      </c>
      <c r="N15" t="s">
        <v>67</v>
      </c>
      <c r="Q15" t="s">
        <v>26</v>
      </c>
      <c r="R15" t="s">
        <v>27</v>
      </c>
      <c r="T15">
        <v>49151881</v>
      </c>
      <c r="U15">
        <v>86001554</v>
      </c>
      <c r="V15">
        <v>127734</v>
      </c>
    </row>
    <row r="16" spans="1:22" x14ac:dyDescent="0.2">
      <c r="A16">
        <v>336394135</v>
      </c>
      <c r="B16" t="s">
        <v>35</v>
      </c>
      <c r="F16">
        <v>70</v>
      </c>
      <c r="G16" t="s">
        <v>23</v>
      </c>
      <c r="H16" s="1">
        <v>45721.984027777777</v>
      </c>
      <c r="I16">
        <v>10640</v>
      </c>
      <c r="J16">
        <v>2922</v>
      </c>
      <c r="K16" t="str">
        <f>"0629"</f>
        <v>0629</v>
      </c>
      <c r="L16">
        <v>1</v>
      </c>
      <c r="M16" t="s">
        <v>24</v>
      </c>
      <c r="N16" t="s">
        <v>35</v>
      </c>
      <c r="Q16" t="s">
        <v>26</v>
      </c>
      <c r="R16" t="s">
        <v>27</v>
      </c>
      <c r="T16">
        <v>49151912</v>
      </c>
      <c r="U16">
        <v>86001555</v>
      </c>
      <c r="V16">
        <v>127736</v>
      </c>
    </row>
    <row r="17" spans="1:22" x14ac:dyDescent="0.2">
      <c r="A17">
        <v>328431945</v>
      </c>
      <c r="B17" t="s">
        <v>57</v>
      </c>
      <c r="C17" t="s">
        <v>58</v>
      </c>
      <c r="D17" t="s">
        <v>59</v>
      </c>
      <c r="E17" t="s">
        <v>60</v>
      </c>
      <c r="F17">
        <v>25</v>
      </c>
      <c r="G17" t="s">
        <v>23</v>
      </c>
      <c r="H17" s="1">
        <v>45721.984027777777</v>
      </c>
      <c r="I17" t="str">
        <f>"0000000"</f>
        <v>0000000</v>
      </c>
      <c r="J17">
        <v>2914</v>
      </c>
      <c r="L17">
        <v>1</v>
      </c>
      <c r="M17" t="s">
        <v>24</v>
      </c>
      <c r="N17" t="s">
        <v>61</v>
      </c>
      <c r="Q17" t="s">
        <v>62</v>
      </c>
      <c r="R17">
        <v>30</v>
      </c>
      <c r="T17">
        <v>49151907</v>
      </c>
      <c r="V17">
        <v>127735</v>
      </c>
    </row>
    <row r="18" spans="1:22" x14ac:dyDescent="0.2">
      <c r="B18" t="s">
        <v>56</v>
      </c>
      <c r="F18">
        <v>45</v>
      </c>
      <c r="G18" t="s">
        <v>23</v>
      </c>
      <c r="H18" s="1">
        <v>45721.984722222223</v>
      </c>
      <c r="I18">
        <v>2892595</v>
      </c>
      <c r="J18">
        <v>3353</v>
      </c>
      <c r="K18">
        <v>1229</v>
      </c>
      <c r="L18">
        <v>1</v>
      </c>
      <c r="M18" t="s">
        <v>24</v>
      </c>
      <c r="N18" t="s">
        <v>56</v>
      </c>
      <c r="Q18" t="s">
        <v>26</v>
      </c>
      <c r="R18" t="s">
        <v>27</v>
      </c>
      <c r="T18">
        <v>49151932</v>
      </c>
      <c r="U18">
        <v>86001556</v>
      </c>
      <c r="V18">
        <v>127737</v>
      </c>
    </row>
    <row r="19" spans="1:22" x14ac:dyDescent="0.2">
      <c r="A19">
        <v>216242057</v>
      </c>
      <c r="B19" t="s">
        <v>49</v>
      </c>
      <c r="C19" t="s">
        <v>50</v>
      </c>
      <c r="D19" t="s">
        <v>51</v>
      </c>
      <c r="E19" t="s">
        <v>52</v>
      </c>
      <c r="F19">
        <v>400</v>
      </c>
      <c r="G19" t="s">
        <v>23</v>
      </c>
      <c r="H19" s="1">
        <v>45721.986111111109</v>
      </c>
      <c r="I19">
        <v>2895188</v>
      </c>
      <c r="J19" t="str">
        <f>"0959"</f>
        <v>0959</v>
      </c>
      <c r="K19" t="str">
        <f>"0830"</f>
        <v>0830</v>
      </c>
      <c r="L19">
        <v>1</v>
      </c>
      <c r="M19" t="s">
        <v>24</v>
      </c>
      <c r="N19" t="s">
        <v>53</v>
      </c>
      <c r="Q19" t="s">
        <v>26</v>
      </c>
      <c r="R19" t="s">
        <v>27</v>
      </c>
      <c r="T19">
        <v>49151983</v>
      </c>
      <c r="U19">
        <v>86001558</v>
      </c>
      <c r="V19">
        <v>127740</v>
      </c>
    </row>
    <row r="20" spans="1:22" x14ac:dyDescent="0.2">
      <c r="A20">
        <v>213740145</v>
      </c>
      <c r="B20" t="s">
        <v>54</v>
      </c>
      <c r="F20">
        <v>100</v>
      </c>
      <c r="G20" t="s">
        <v>23</v>
      </c>
      <c r="H20" s="1">
        <v>45721.986111111109</v>
      </c>
      <c r="I20">
        <v>2894904</v>
      </c>
      <c r="J20">
        <v>4637</v>
      </c>
      <c r="K20">
        <v>1227</v>
      </c>
      <c r="L20">
        <v>1</v>
      </c>
      <c r="M20" t="s">
        <v>24</v>
      </c>
      <c r="N20" t="s">
        <v>55</v>
      </c>
      <c r="Q20" t="s">
        <v>33</v>
      </c>
      <c r="R20" t="s">
        <v>27</v>
      </c>
      <c r="T20">
        <v>49151976</v>
      </c>
      <c r="U20">
        <v>86001557</v>
      </c>
      <c r="V20">
        <v>127739</v>
      </c>
    </row>
    <row r="21" spans="1:22" x14ac:dyDescent="0.2">
      <c r="B21" t="s">
        <v>45</v>
      </c>
      <c r="F21">
        <v>50</v>
      </c>
      <c r="G21" t="s">
        <v>23</v>
      </c>
      <c r="H21" s="1">
        <v>45721.986805555556</v>
      </c>
      <c r="I21">
        <v>2896843</v>
      </c>
      <c r="J21">
        <v>9361</v>
      </c>
      <c r="K21" t="str">
        <f>"0730"</f>
        <v>0730</v>
      </c>
      <c r="L21">
        <v>1</v>
      </c>
      <c r="M21" t="s">
        <v>24</v>
      </c>
      <c r="N21" t="s">
        <v>46</v>
      </c>
      <c r="Q21" t="s">
        <v>26</v>
      </c>
      <c r="R21" t="s">
        <v>27</v>
      </c>
      <c r="T21">
        <v>49152036</v>
      </c>
      <c r="U21">
        <v>86001560</v>
      </c>
      <c r="V21">
        <v>127742</v>
      </c>
    </row>
    <row r="22" spans="1:22" x14ac:dyDescent="0.2">
      <c r="B22" t="s">
        <v>47</v>
      </c>
      <c r="F22">
        <v>20</v>
      </c>
      <c r="G22" t="s">
        <v>23</v>
      </c>
      <c r="H22" s="1">
        <v>45721.986805555556</v>
      </c>
      <c r="I22">
        <v>2896477</v>
      </c>
      <c r="J22">
        <v>8070</v>
      </c>
      <c r="K22" t="str">
        <f>"0327"</f>
        <v>0327</v>
      </c>
      <c r="L22">
        <v>1</v>
      </c>
      <c r="M22" t="s">
        <v>24</v>
      </c>
      <c r="N22" t="s">
        <v>48</v>
      </c>
      <c r="Q22" t="s">
        <v>26</v>
      </c>
      <c r="R22" t="s">
        <v>27</v>
      </c>
      <c r="T22">
        <v>49152014</v>
      </c>
      <c r="U22">
        <v>86001559</v>
      </c>
      <c r="V22">
        <v>127741</v>
      </c>
    </row>
    <row r="23" spans="1:22" x14ac:dyDescent="0.2">
      <c r="B23" t="s">
        <v>43</v>
      </c>
      <c r="F23">
        <v>100</v>
      </c>
      <c r="G23" t="s">
        <v>23</v>
      </c>
      <c r="H23" s="1">
        <v>45721.987500000003</v>
      </c>
      <c r="I23">
        <v>2898650</v>
      </c>
      <c r="J23">
        <v>7920</v>
      </c>
      <c r="K23" t="str">
        <f>"0326"</f>
        <v>0326</v>
      </c>
      <c r="L23">
        <v>1</v>
      </c>
      <c r="M23" t="s">
        <v>24</v>
      </c>
      <c r="N23" t="s">
        <v>44</v>
      </c>
      <c r="Q23" t="s">
        <v>33</v>
      </c>
      <c r="R23" t="s">
        <v>27</v>
      </c>
      <c r="T23">
        <v>49152070</v>
      </c>
      <c r="U23">
        <v>86001561</v>
      </c>
      <c r="V23">
        <v>127743</v>
      </c>
    </row>
    <row r="24" spans="1:22" x14ac:dyDescent="0.2">
      <c r="B24" t="s">
        <v>41</v>
      </c>
      <c r="F24">
        <v>150</v>
      </c>
      <c r="G24" t="s">
        <v>23</v>
      </c>
      <c r="H24" s="1">
        <v>45721.988194444442</v>
      </c>
      <c r="I24" t="str">
        <f>"0242206"</f>
        <v>0242206</v>
      </c>
      <c r="J24" t="str">
        <f>"0228"</f>
        <v>0228</v>
      </c>
      <c r="K24">
        <v>1229</v>
      </c>
      <c r="L24">
        <v>1</v>
      </c>
      <c r="M24" t="s">
        <v>24</v>
      </c>
      <c r="N24" t="s">
        <v>42</v>
      </c>
      <c r="Q24" t="s">
        <v>26</v>
      </c>
      <c r="R24" t="s">
        <v>27</v>
      </c>
      <c r="T24">
        <v>49152102</v>
      </c>
      <c r="U24">
        <v>86001562</v>
      </c>
      <c r="V24">
        <v>127744</v>
      </c>
    </row>
    <row r="25" spans="1:22" x14ac:dyDescent="0.2">
      <c r="A25">
        <v>312690647</v>
      </c>
      <c r="B25" t="s">
        <v>34</v>
      </c>
      <c r="F25">
        <v>30</v>
      </c>
      <c r="G25" t="s">
        <v>23</v>
      </c>
      <c r="H25" s="1">
        <v>45721.990277777775</v>
      </c>
      <c r="I25" t="str">
        <f>"0261594"</f>
        <v>0261594</v>
      </c>
      <c r="J25">
        <v>8517</v>
      </c>
      <c r="K25">
        <v>1028</v>
      </c>
      <c r="L25">
        <v>1</v>
      </c>
      <c r="M25" t="s">
        <v>24</v>
      </c>
      <c r="N25" t="s">
        <v>35</v>
      </c>
      <c r="Q25" t="s">
        <v>26</v>
      </c>
      <c r="R25" t="s">
        <v>27</v>
      </c>
      <c r="T25">
        <v>49152304</v>
      </c>
      <c r="U25">
        <v>86001564</v>
      </c>
      <c r="V25">
        <v>127745</v>
      </c>
    </row>
    <row r="26" spans="1:22" x14ac:dyDescent="0.2">
      <c r="A26">
        <v>207776154</v>
      </c>
      <c r="B26" t="s">
        <v>36</v>
      </c>
      <c r="C26" t="s">
        <v>37</v>
      </c>
      <c r="D26" t="s">
        <v>38</v>
      </c>
      <c r="E26" t="s">
        <v>39</v>
      </c>
      <c r="F26">
        <v>400</v>
      </c>
      <c r="G26" t="s">
        <v>23</v>
      </c>
      <c r="H26" s="1">
        <v>45721.990277777775</v>
      </c>
      <c r="I26" t="str">
        <f>"0259846"</f>
        <v>0259846</v>
      </c>
      <c r="J26">
        <v>7524</v>
      </c>
      <c r="K26" t="str">
        <f>"0129"</f>
        <v>0129</v>
      </c>
      <c r="L26">
        <v>1</v>
      </c>
      <c r="M26" t="s">
        <v>24</v>
      </c>
      <c r="N26" t="s">
        <v>40</v>
      </c>
      <c r="Q26" t="s">
        <v>26</v>
      </c>
      <c r="R26" t="s">
        <v>27</v>
      </c>
      <c r="S26">
        <v>1673040</v>
      </c>
      <c r="T26">
        <v>49152279</v>
      </c>
      <c r="U26">
        <v>86001563</v>
      </c>
    </row>
    <row r="27" spans="1:22" x14ac:dyDescent="0.2">
      <c r="A27">
        <v>772148474</v>
      </c>
      <c r="B27" t="s">
        <v>28</v>
      </c>
      <c r="C27" t="s">
        <v>29</v>
      </c>
      <c r="D27" t="s">
        <v>30</v>
      </c>
      <c r="E27" t="s">
        <v>31</v>
      </c>
      <c r="F27">
        <v>200</v>
      </c>
      <c r="G27" t="s">
        <v>23</v>
      </c>
      <c r="H27" s="1">
        <v>45721.993750000001</v>
      </c>
      <c r="I27">
        <v>16626</v>
      </c>
      <c r="J27">
        <v>7842</v>
      </c>
      <c r="K27" t="str">
        <f>"0528"</f>
        <v>0528</v>
      </c>
      <c r="L27">
        <v>1</v>
      </c>
      <c r="M27" t="s">
        <v>24</v>
      </c>
      <c r="N27" t="s">
        <v>32</v>
      </c>
      <c r="Q27" t="s">
        <v>33</v>
      </c>
      <c r="R27" t="s">
        <v>27</v>
      </c>
      <c r="T27">
        <v>49152417</v>
      </c>
      <c r="U27">
        <v>86001565</v>
      </c>
      <c r="V27">
        <v>127746</v>
      </c>
    </row>
    <row r="28" spans="1:22" x14ac:dyDescent="0.2">
      <c r="A28">
        <v>210042032</v>
      </c>
      <c r="B28" t="s">
        <v>22</v>
      </c>
      <c r="F28">
        <v>50</v>
      </c>
      <c r="G28" t="s">
        <v>23</v>
      </c>
      <c r="H28" s="1">
        <v>45721.995138888888</v>
      </c>
      <c r="I28">
        <v>18144</v>
      </c>
      <c r="J28">
        <v>3849</v>
      </c>
      <c r="K28" t="str">
        <f>"0131"</f>
        <v>0131</v>
      </c>
      <c r="L28">
        <v>1</v>
      </c>
      <c r="M28" t="s">
        <v>24</v>
      </c>
      <c r="N28" t="s">
        <v>25</v>
      </c>
      <c r="Q28" t="s">
        <v>26</v>
      </c>
      <c r="R28" t="s">
        <v>27</v>
      </c>
      <c r="T28">
        <v>49152494</v>
      </c>
      <c r="U28">
        <v>86001566</v>
      </c>
      <c r="V28">
        <v>127747</v>
      </c>
    </row>
  </sheetData>
  <autoFilter ref="A1:V28">
    <sortState ref="A2:V28">
      <sortCondition ref="H1:H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2025-03-05T21:57:52Z</dcterms:created>
  <dcterms:modified xsi:type="dcterms:W3CDTF">2025-03-05T21:58:10Z</dcterms:modified>
</cp:coreProperties>
</file>