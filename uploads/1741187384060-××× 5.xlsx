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8_{006A2E94-49B3-4FA8-A35B-1F7DAFCB13E1}" xr6:coauthVersionLast="36" xr6:coauthVersionMax="36" xr10:uidLastSave="{00000000-0000-0000-0000-000000000000}"/>
  <bookViews>
    <workbookView xWindow="0" yWindow="0" windowWidth="28800" windowHeight="12255"/>
  </bookViews>
  <sheets>
    <sheet name="דוח 4" sheetId="1" r:id="rId1"/>
  </sheets>
  <definedNames>
    <definedName name="_xlnm._FilterDatabase" localSheetId="0" hidden="1">'דוח 4'!$A$1:$V$62</definedName>
  </definedNames>
  <calcPr calcId="0"/>
</workbook>
</file>

<file path=xl/calcChain.xml><?xml version="1.0" encoding="utf-8"?>
<calcChain xmlns="http://schemas.openxmlformats.org/spreadsheetml/2006/main">
  <c r="I61" i="1" l="1"/>
  <c r="K61" i="1"/>
  <c r="A62" i="1"/>
  <c r="K62" i="1"/>
  <c r="I59" i="1"/>
  <c r="K59" i="1"/>
  <c r="I60" i="1"/>
  <c r="B57" i="1"/>
  <c r="I57" i="1"/>
  <c r="I58" i="1"/>
  <c r="K56" i="1"/>
  <c r="I55" i="1"/>
  <c r="K55" i="1"/>
  <c r="J54" i="1"/>
  <c r="K54" i="1"/>
  <c r="I52" i="1"/>
  <c r="K52" i="1"/>
  <c r="K53" i="1"/>
  <c r="I51" i="1"/>
  <c r="I50" i="1"/>
  <c r="K50" i="1"/>
  <c r="A46" i="1"/>
  <c r="I46" i="1"/>
  <c r="J46" i="1"/>
  <c r="K46" i="1"/>
  <c r="K47" i="1"/>
  <c r="I48" i="1"/>
  <c r="I49" i="1"/>
  <c r="K49" i="1"/>
  <c r="A45" i="1"/>
  <c r="I45" i="1"/>
  <c r="I42" i="1"/>
  <c r="K43" i="1"/>
  <c r="K44" i="1"/>
  <c r="I41" i="1"/>
  <c r="K38" i="1"/>
  <c r="I39" i="1"/>
  <c r="I40" i="1"/>
  <c r="K40" i="1"/>
  <c r="A36" i="1"/>
  <c r="I36" i="1"/>
  <c r="K36" i="1"/>
  <c r="I37" i="1"/>
  <c r="K37" i="1"/>
  <c r="K35" i="1"/>
  <c r="I33" i="1"/>
  <c r="K33" i="1"/>
  <c r="K34" i="1"/>
  <c r="I32" i="1"/>
  <c r="K32" i="1"/>
  <c r="K30" i="1"/>
  <c r="K31" i="1"/>
  <c r="B28" i="1"/>
  <c r="I28" i="1"/>
  <c r="K28" i="1"/>
  <c r="A29" i="1"/>
  <c r="K25" i="1"/>
  <c r="I26" i="1"/>
  <c r="J26" i="1"/>
  <c r="K26" i="1"/>
  <c r="I27" i="1"/>
  <c r="K27" i="1"/>
  <c r="I23" i="1"/>
  <c r="I24" i="1"/>
  <c r="K24" i="1"/>
  <c r="I20" i="1"/>
  <c r="I21" i="1"/>
  <c r="J21" i="1"/>
  <c r="K21" i="1"/>
  <c r="I22" i="1"/>
  <c r="K22" i="1"/>
  <c r="K19" i="1"/>
  <c r="I18" i="1"/>
  <c r="K18" i="1"/>
  <c r="I17" i="1"/>
  <c r="I15" i="1"/>
  <c r="A16" i="1"/>
  <c r="K16" i="1"/>
  <c r="I14" i="1"/>
  <c r="J14" i="1"/>
  <c r="K14" i="1"/>
  <c r="I11" i="1"/>
  <c r="K11" i="1"/>
  <c r="I12" i="1"/>
  <c r="I10" i="1"/>
  <c r="K10" i="1"/>
  <c r="I9" i="1"/>
  <c r="K9" i="1"/>
  <c r="B5" i="1"/>
  <c r="I5" i="1"/>
  <c r="A6" i="1"/>
  <c r="I6" i="1"/>
  <c r="K6" i="1"/>
  <c r="K7" i="1"/>
  <c r="I8" i="1"/>
  <c r="J8" i="1"/>
  <c r="I2" i="1"/>
  <c r="K2" i="1"/>
  <c r="A3" i="1"/>
  <c r="I3" i="1"/>
  <c r="K3" i="1"/>
</calcChain>
</file>

<file path=xl/sharedStrings.xml><?xml version="1.0" encoding="utf-8"?>
<sst xmlns="http://schemas.openxmlformats.org/spreadsheetml/2006/main" count="469" uniqueCount="220">
  <si>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</si>
  <si>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</si>
  <si>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</si>
  <si>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</si>
  <si>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</si>
  <si>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</si>
  <si>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</si>
  <si>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</si>
  <si>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</si>
  <si>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</si>
  <si>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</si>
  <si>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</si>
  <si>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</si>
  <si>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</si>
  <si>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</si>
  <si>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</si>
  <si>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</si>
  <si>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</si>
  <si>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</si>
  <si>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</si>
  <si>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</si>
  <si>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</si>
  <si>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קרביץ דבורה</t>
  </si>
  <si>
    <t>נחל רפאים 29/10 בית שמש</t>
  </si>
  <si>
    <t>02-9997533</t>
  </si>
  <si>
    <t>devorahkravitz@gmail.com</t>
  </si>
  <si>
    <t>שקל</t>
  </si>
  <si>
    <t>קמפיין הכנסת כלה תשפ"ה</t>
  </si>
  <si>
    <t>שושנה קרביץ</t>
  </si>
  <si>
    <t>ויזה</t>
  </si>
  <si>
    <t>ישראכרט</t>
  </si>
  <si>
    <t>נטע סעד</t>
  </si>
  <si>
    <t>מרים מונסונגו</t>
  </si>
  <si>
    <t>יהודית חביב</t>
  </si>
  <si>
    <t>קלינמן 7 ירושלים</t>
  </si>
  <si>
    <t>053-3145746</t>
  </si>
  <si>
    <t>ts0583214982@gmail.com</t>
  </si>
  <si>
    <t>על שם צפורה חביב</t>
  </si>
  <si>
    <t>מסטרכרד</t>
  </si>
  <si>
    <t>שושנה ברזנסקי</t>
  </si>
  <si>
    <t>shana91044@gmail.com</t>
  </si>
  <si>
    <t xml:space="preserve">שרה לוי </t>
  </si>
  <si>
    <t>054-8499569</t>
  </si>
  <si>
    <t>NedarimPhone</t>
  </si>
  <si>
    <t xml:space="preserve">מיכל וייס </t>
  </si>
  <si>
    <t>קדושת לוי 15 ביתר עילית</t>
  </si>
  <si>
    <t>055-5658598</t>
  </si>
  <si>
    <t>mw0556791664@gmail.com</t>
  </si>
  <si>
    <t>העברה בקליק</t>
  </si>
  <si>
    <t>אברהם נדל</t>
  </si>
  <si>
    <t>ירושלים, 51 בני ברק</t>
  </si>
  <si>
    <t>052-7128999</t>
  </si>
  <si>
    <t>a7128999@gmail.com</t>
  </si>
  <si>
    <t>1 מתוך 10</t>
  </si>
  <si>
    <t>פרל ברכה נדל</t>
  </si>
  <si>
    <t>טל אוחנה</t>
  </si>
  <si>
    <t>שרה לוי</t>
  </si>
  <si>
    <t>גולדבאום שרה</t>
  </si>
  <si>
    <t>רחוב טבריה 6 בית שמש</t>
  </si>
  <si>
    <t>052-7155428</t>
  </si>
  <si>
    <t>sararivka1412@gmail.com</t>
  </si>
  <si>
    <t>אודליה בן הראש (קדוש)</t>
  </si>
  <si>
    <t>יערה 18 רעננה</t>
  </si>
  <si>
    <t>053-4150383</t>
  </si>
  <si>
    <t>kadocheodelia@gmail.com</t>
  </si>
  <si>
    <t>אלונה קדוש אחותי המהממת</t>
  </si>
  <si>
    <t>ברכה וולקין</t>
  </si>
  <si>
    <t>תפרח</t>
  </si>
  <si>
    <t>עקיבא דיסקינד</t>
  </si>
  <si>
    <t>ציונה לוי</t>
  </si>
  <si>
    <t>שרה זילברמן</t>
  </si>
  <si>
    <t>ירושלים</t>
  </si>
  <si>
    <t>מנשה אהרון</t>
  </si>
  <si>
    <t>רחוב אור החיים 19 דירה 6 מודיעין עילית</t>
  </si>
  <si>
    <t>054-5936700</t>
  </si>
  <si>
    <t>mane@grifin.me</t>
  </si>
  <si>
    <t>נתרם באמצעות תמר אהרון</t>
  </si>
  <si>
    <t>רבקה מיתא</t>
  </si>
  <si>
    <t>פנמה פנמה</t>
  </si>
  <si>
    <t>053-3438638</t>
  </si>
  <si>
    <t>ribkymeta@gmail.com</t>
  </si>
  <si>
    <t>רבקה מיתא וילה</t>
  </si>
  <si>
    <t>תרצה אלטמן</t>
  </si>
  <si>
    <t>שרה סיטרוק</t>
  </si>
  <si>
    <t>טובה דפנר</t>
  </si>
  <si>
    <t>חבקוק הנביא רמת בית שמש</t>
  </si>
  <si>
    <t>058-3241056</t>
  </si>
  <si>
    <t>tovahtova@gmail.com</t>
  </si>
  <si>
    <t>לדירת חבצלת- לשילת מימון הנשמה שלנו!! אוהבת אותך המון המון</t>
  </si>
  <si>
    <t>רבקה רוטשטיין</t>
  </si>
  <si>
    <t>חייקי רוטשטיין</t>
  </si>
  <si>
    <t>מירי סיימון</t>
  </si>
  <si>
    <t>מורמי שדה  מודיעין עילית</t>
  </si>
  <si>
    <t>058-4148909</t>
  </si>
  <si>
    <t>mirisimon8909@gmail.com</t>
  </si>
  <si>
    <t xml:space="preserve">שושנה שפירא </t>
  </si>
  <si>
    <t>רינה סגל</t>
  </si>
  <si>
    <t>פולסקי</t>
  </si>
  <si>
    <t>מלכה טודר</t>
  </si>
  <si>
    <t>שרה סולימני</t>
  </si>
  <si>
    <t>אסתי בראון</t>
  </si>
  <si>
    <t>41 כנסת יחזקאל ביתר עילית</t>
  </si>
  <si>
    <t>058-7166845</t>
  </si>
  <si>
    <t>estib7166@gmail.com</t>
  </si>
  <si>
    <t>לאה סמיט</t>
  </si>
  <si>
    <t>תפארת נפתלי 34 בית שמש</t>
  </si>
  <si>
    <t>053-4109956</t>
  </si>
  <si>
    <t>leahsima6@gmail.com</t>
  </si>
  <si>
    <t>יעל מרטין</t>
  </si>
  <si>
    <t>איילת מרטין</t>
  </si>
  <si>
    <t>בודילובסקי</t>
  </si>
  <si>
    <t>Nitsa 26A (Apartment 22) Netanya</t>
  </si>
  <si>
    <t>r.boruch@outlook.com</t>
  </si>
  <si>
    <t>להכנסת כלה ע"ש מרים קדר</t>
  </si>
  <si>
    <t>שבי</t>
  </si>
  <si>
    <t>אליענה אבנד</t>
  </si>
  <si>
    <t>צילה היטמן</t>
  </si>
  <si>
    <t>הרב קניג 8 ביתר עילית</t>
  </si>
  <si>
    <t>054-8459542</t>
  </si>
  <si>
    <t>tzila542@gmail.com</t>
  </si>
  <si>
    <t>דובאוויק אפרים</t>
  </si>
  <si>
    <t>נחל לוז 11/2 בית שמש</t>
  </si>
  <si>
    <t>058-7149126</t>
  </si>
  <si>
    <t>edubovick@gmail.com</t>
  </si>
  <si>
    <t>Faige Herman</t>
  </si>
  <si>
    <t>107 Sanhedria Murchevet Jerusalem</t>
  </si>
  <si>
    <t>058-3286113</t>
  </si>
  <si>
    <t>faigeherman@gmail.com</t>
  </si>
  <si>
    <t>דולר</t>
  </si>
  <si>
    <t xml:space="preserve"> 00856C</t>
  </si>
  <si>
    <t>הו"ק</t>
  </si>
  <si>
    <t>דינה פייזר</t>
  </si>
  <si>
    <t>רחל פייזר</t>
  </si>
  <si>
    <t>אביבה וגשל</t>
  </si>
  <si>
    <t>נחל אלכסנדר, 11/1 בית שמש</t>
  </si>
  <si>
    <t>054-9419468</t>
  </si>
  <si>
    <t>avivawagschal@gmail.com</t>
  </si>
  <si>
    <t xml:space="preserve"> 02361C</t>
  </si>
  <si>
    <t>הודיה וגשל דירה 404</t>
  </si>
  <si>
    <t xml:space="preserve"> 01667C</t>
  </si>
  <si>
    <t>בת ציון וגשל דירה 8</t>
  </si>
  <si>
    <t>058-3233506</t>
  </si>
  <si>
    <t xml:space="preserve">פאור גבריאל </t>
  </si>
  <si>
    <t xml:space="preserve">פנמה  פנמה </t>
  </si>
  <si>
    <t>06-1515942</t>
  </si>
  <si>
    <t>gabyfaur2011@gmail.com</t>
  </si>
  <si>
    <t xml:space="preserve">רבקה פאור </t>
  </si>
  <si>
    <t>מירי</t>
  </si>
  <si>
    <t>בן אברהם טליה</t>
  </si>
  <si>
    <t>זכריה מדאר 53 רחובות</t>
  </si>
  <si>
    <t>055-6797467</t>
  </si>
  <si>
    <t>talya.tba@gmail.com</t>
  </si>
  <si>
    <t>נעמה נחמיאס</t>
  </si>
  <si>
    <t>צפורה טיסר</t>
  </si>
  <si>
    <t>נחל נחשון 3/17 בית שמש</t>
  </si>
  <si>
    <t>055-6794746</t>
  </si>
  <si>
    <t>tztisser@gmail.com</t>
  </si>
  <si>
    <t>NedarimPhone  - זיהוי משתמש רשום</t>
  </si>
  <si>
    <t>יעל צחנוביץ</t>
  </si>
  <si>
    <t>נחל רפאים 24 בית שמש</t>
  </si>
  <si>
    <t>055-6752620</t>
  </si>
  <si>
    <t>yc1101507@gmail.com</t>
  </si>
  <si>
    <t>מזל שימלה</t>
  </si>
  <si>
    <t>מיכל שוורץ</t>
  </si>
  <si>
    <t>הדס קרסנטי</t>
  </si>
  <si>
    <t>nachal revivim, Building23, apartment10 Bit Shemesh</t>
  </si>
  <si>
    <t>053-4144123</t>
  </si>
  <si>
    <t>hadaskarasenti1@gmail.com</t>
  </si>
  <si>
    <t xml:space="preserve">שמואל קרנברג </t>
  </si>
  <si>
    <t>בורוכוב ירושלים</t>
  </si>
  <si>
    <t>058-3256064</t>
  </si>
  <si>
    <t>chmouelkernberg@gmail.com</t>
  </si>
  <si>
    <t>שירלי פורס דירה 3</t>
  </si>
  <si>
    <t>אלישבע מורלי</t>
  </si>
  <si>
    <t>מרימי מונסונגו</t>
  </si>
  <si>
    <t>Michael Jonathan Karmely</t>
  </si>
  <si>
    <t>Via soderini 47 milano</t>
  </si>
  <si>
    <t>michael@mykafe.it</t>
  </si>
  <si>
    <t>Michal karmely</t>
  </si>
  <si>
    <t>אמריקן אקספרס</t>
  </si>
  <si>
    <t>יוכבד בצלאל</t>
  </si>
  <si>
    <t>הדס שמואל</t>
  </si>
  <si>
    <t>אביגיל נידם</t>
  </si>
  <si>
    <t>רחלי ויליג</t>
  </si>
  <si>
    <t>עובד הדס</t>
  </si>
  <si>
    <t>עזרא 25 רחובות</t>
  </si>
  <si>
    <t>050-4181704</t>
  </si>
  <si>
    <t>h0504181704@gmail.com</t>
  </si>
  <si>
    <t>אביטל רשד דירה 3</t>
  </si>
  <si>
    <t xml:space="preserve"> קרן חן</t>
  </si>
  <si>
    <t>יעל רום 4 פתח תקווה</t>
  </si>
  <si>
    <t>052-3963168</t>
  </si>
  <si>
    <t>הודיה אורבך</t>
  </si>
  <si>
    <t>יוכבד גורדון</t>
  </si>
  <si>
    <t xml:space="preserve"> 01535D</t>
  </si>
  <si>
    <t>רחלי וויליג</t>
  </si>
  <si>
    <t>מיכל ארסליס</t>
  </si>
  <si>
    <t>אביטל רשד</t>
  </si>
  <si>
    <t>שרה רף</t>
  </si>
  <si>
    <t>חיה גולדברג</t>
  </si>
  <si>
    <t>שושנה שפירא</t>
  </si>
  <si>
    <t>תמר כודרי</t>
  </si>
  <si>
    <t>אפרת זוננטל</t>
  </si>
  <si>
    <t>053-4101607</t>
  </si>
  <si>
    <t>ענת זילברליכט</t>
  </si>
  <si>
    <t>שילת מימון</t>
  </si>
  <si>
    <t xml:space="preserve">מרים זיר </t>
  </si>
  <si>
    <t>נחל איילון 21/4 בית שמש</t>
  </si>
  <si>
    <t>058-3249437</t>
  </si>
  <si>
    <t>ziermiriam@gmail.com</t>
  </si>
  <si>
    <t>חני שרייבר</t>
  </si>
  <si>
    <t>לחי 35</t>
  </si>
  <si>
    <t>058-6479260</t>
  </si>
  <si>
    <t>c0504103335@gmail.com</t>
  </si>
  <si>
    <t>חוה</t>
  </si>
  <si>
    <t>דרך שרה לוי ובת שבע קרסילשיק</t>
  </si>
  <si>
    <t>ירושלים 51 בני ברק</t>
  </si>
  <si>
    <t>pn0556781949@gmail.com</t>
  </si>
  <si>
    <t>אייל כותה</t>
  </si>
  <si>
    <t>תהילה כותה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</si>
</sst>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"/>
  <sheetViews>
    <sheetView rightToLeft="1" tabSelected="1" topLeftCell="A43" workbookViewId="0">
      <selection activeCell="A2" sqref="A2:XFD88"/>
    </sheetView>
  </sheetViews>
  <sheetFormatPr defaultRowHeight="14.25" x14ac:dyDescent="0.2"/>
  <cols>
    <col min="1" max="1" width="11.125" bestFit="1" customWidth="1"/>
    <col min="2" max="2" width="22.5" bestFit="1" customWidth="1"/>
    <col min="3" max="3" width="45.125" bestFit="1" customWidth="1"/>
    <col min="4" max="4" width="14" bestFit="1" customWidth="1"/>
    <col min="5" max="5" width="25.875" bestFit="1" customWidth="1"/>
    <col min="6" max="6" width="6.3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20" bestFit="1" customWidth="1"/>
    <col min="14" max="14" width="48.75" bestFit="1" customWidth="1"/>
    <col min="15" max="15" width="9.5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B2" t="s">
        <v>54</v>
      </c>
      <c r="C2" t="s">
        <v>216</v>
      </c>
      <c r="D2" t="s">
        <v>51</v>
      </c>
      <c r="E2" t="s">
        <v>217</v>
      </c>
      <c r="F2">
        <v>500</v>
      </c>
      <c r="G2" t="s">
        <v>26</v>
      </c>
      <c r="H2" s="1">
        <v>45721.67291666667</v>
      </c>
      <c r="I2" t="str">
        <f>"0653716"</f>
        <v>0653716</v>
      </c>
      <c r="J2">
        <v>3286</v>
      </c>
      <c r="K2" t="str">
        <f>"0730"</f>
        <v>0730</v>
      </c>
      <c r="L2">
        <v>1</v>
      </c>
      <c r="M2" t="s">
        <v>27</v>
      </c>
      <c r="N2" t="s">
        <v>54</v>
      </c>
      <c r="Q2" t="s">
        <v>29</v>
      </c>
      <c r="R2" t="s">
        <v>30</v>
      </c>
      <c r="T2">
        <v>49133664</v>
      </c>
      <c r="U2">
        <v>86001085</v>
      </c>
      <c r="V2">
        <v>127258</v>
      </c>
    </row>
    <row r="3" spans="1:22" x14ac:dyDescent="0.2">
      <c r="A3" t="str">
        <f>"038409801"</f>
        <v>038409801</v>
      </c>
      <c r="B3" t="s">
        <v>218</v>
      </c>
      <c r="F3">
        <v>100</v>
      </c>
      <c r="G3" t="s">
        <v>26</v>
      </c>
      <c r="H3" s="1">
        <v>45721.67291666667</v>
      </c>
      <c r="I3" t="str">
        <f>"0022459"</f>
        <v>0022459</v>
      </c>
      <c r="J3">
        <v>9461</v>
      </c>
      <c r="K3" t="str">
        <f>"0827"</f>
        <v>0827</v>
      </c>
      <c r="L3">
        <v>1</v>
      </c>
      <c r="M3" t="s">
        <v>27</v>
      </c>
      <c r="N3" t="s">
        <v>219</v>
      </c>
      <c r="Q3" t="s">
        <v>29</v>
      </c>
      <c r="R3" t="s">
        <v>30</v>
      </c>
      <c r="T3">
        <v>49133659</v>
      </c>
      <c r="U3">
        <v>86001084</v>
      </c>
      <c r="V3">
        <v>127257</v>
      </c>
    </row>
    <row r="4" spans="1:22" x14ac:dyDescent="0.2">
      <c r="B4" t="s">
        <v>214</v>
      </c>
      <c r="F4">
        <v>50</v>
      </c>
      <c r="G4" t="s">
        <v>26</v>
      </c>
      <c r="H4" s="1">
        <v>45721.674305555556</v>
      </c>
      <c r="I4">
        <v>97860</v>
      </c>
      <c r="J4">
        <v>9827</v>
      </c>
      <c r="K4">
        <v>1030</v>
      </c>
      <c r="L4">
        <v>1</v>
      </c>
      <c r="M4" t="s">
        <v>27</v>
      </c>
      <c r="N4" t="s">
        <v>215</v>
      </c>
      <c r="Q4" t="s">
        <v>29</v>
      </c>
      <c r="R4" t="s">
        <v>30</v>
      </c>
      <c r="T4">
        <v>49133700</v>
      </c>
      <c r="U4">
        <v>86001086</v>
      </c>
      <c r="V4">
        <v>127259</v>
      </c>
    </row>
    <row r="5" spans="1:22" x14ac:dyDescent="0.2">
      <c r="B5" t="str">
        <f>"0534101607"</f>
        <v>0534101607</v>
      </c>
      <c r="D5" t="s">
        <v>203</v>
      </c>
      <c r="F5">
        <v>50</v>
      </c>
      <c r="G5" t="s">
        <v>26</v>
      </c>
      <c r="H5" s="1">
        <v>45721.677083333336</v>
      </c>
      <c r="I5" t="str">
        <f>"0693890"</f>
        <v>0693890</v>
      </c>
      <c r="J5">
        <v>8957</v>
      </c>
      <c r="K5">
        <v>1027</v>
      </c>
      <c r="L5">
        <v>1</v>
      </c>
      <c r="N5" t="s">
        <v>43</v>
      </c>
      <c r="Q5" t="s">
        <v>38</v>
      </c>
      <c r="R5" t="s">
        <v>30</v>
      </c>
      <c r="T5">
        <v>49133806</v>
      </c>
      <c r="U5">
        <v>86001090</v>
      </c>
    </row>
    <row r="6" spans="1:22" x14ac:dyDescent="0.2">
      <c r="A6" t="str">
        <f>"024364077"</f>
        <v>024364077</v>
      </c>
      <c r="B6" t="s">
        <v>204</v>
      </c>
      <c r="F6">
        <v>100</v>
      </c>
      <c r="G6" t="s">
        <v>26</v>
      </c>
      <c r="H6" s="1">
        <v>45721.677083333336</v>
      </c>
      <c r="I6" t="str">
        <f>"0691790"</f>
        <v>0691790</v>
      </c>
      <c r="J6">
        <v>3403</v>
      </c>
      <c r="K6" t="str">
        <f>"0231"</f>
        <v>0231</v>
      </c>
      <c r="L6">
        <v>1</v>
      </c>
      <c r="M6" t="s">
        <v>27</v>
      </c>
      <c r="N6" t="s">
        <v>205</v>
      </c>
      <c r="Q6" t="s">
        <v>38</v>
      </c>
      <c r="R6" t="s">
        <v>30</v>
      </c>
      <c r="T6">
        <v>49133798</v>
      </c>
      <c r="U6">
        <v>86001089</v>
      </c>
      <c r="V6">
        <v>127262</v>
      </c>
    </row>
    <row r="7" spans="1:22" x14ac:dyDescent="0.2">
      <c r="A7">
        <v>214869364</v>
      </c>
      <c r="B7" t="s">
        <v>206</v>
      </c>
      <c r="C7" t="s">
        <v>207</v>
      </c>
      <c r="D7" t="s">
        <v>208</v>
      </c>
      <c r="E7" t="s">
        <v>209</v>
      </c>
      <c r="F7">
        <v>100</v>
      </c>
      <c r="G7" t="s">
        <v>26</v>
      </c>
      <c r="H7" s="1">
        <v>45721.677083333336</v>
      </c>
      <c r="I7">
        <v>6100</v>
      </c>
      <c r="J7">
        <v>5847</v>
      </c>
      <c r="K7" t="str">
        <f>"0926"</f>
        <v>0926</v>
      </c>
      <c r="L7">
        <v>1</v>
      </c>
      <c r="M7" t="s">
        <v>27</v>
      </c>
      <c r="N7" t="s">
        <v>28</v>
      </c>
      <c r="Q7" t="s">
        <v>29</v>
      </c>
      <c r="R7" t="s">
        <v>30</v>
      </c>
      <c r="T7">
        <v>49133792</v>
      </c>
      <c r="U7">
        <v>86001088</v>
      </c>
      <c r="V7">
        <v>127261</v>
      </c>
    </row>
    <row r="8" spans="1:22" x14ac:dyDescent="0.2">
      <c r="A8">
        <v>326659794</v>
      </c>
      <c r="B8" t="s">
        <v>210</v>
      </c>
      <c r="C8" t="s">
        <v>211</v>
      </c>
      <c r="D8" t="s">
        <v>212</v>
      </c>
      <c r="E8" t="s">
        <v>213</v>
      </c>
      <c r="F8">
        <v>100</v>
      </c>
      <c r="G8" t="s">
        <v>26</v>
      </c>
      <c r="H8" s="1">
        <v>45721.677083333336</v>
      </c>
      <c r="I8" t="str">
        <f>"0689062"</f>
        <v>0689062</v>
      </c>
      <c r="J8" t="str">
        <f>"0674"</f>
        <v>0674</v>
      </c>
      <c r="K8">
        <v>1027</v>
      </c>
      <c r="L8">
        <v>1</v>
      </c>
      <c r="M8" t="s">
        <v>27</v>
      </c>
      <c r="Q8" t="s">
        <v>38</v>
      </c>
      <c r="R8" t="s">
        <v>30</v>
      </c>
      <c r="T8">
        <v>49133787</v>
      </c>
      <c r="U8">
        <v>86001087</v>
      </c>
      <c r="V8">
        <v>127260</v>
      </c>
    </row>
    <row r="9" spans="1:22" x14ac:dyDescent="0.2">
      <c r="A9">
        <v>328432992</v>
      </c>
      <c r="B9" t="s">
        <v>201</v>
      </c>
      <c r="F9">
        <v>20</v>
      </c>
      <c r="G9" t="s">
        <v>26</v>
      </c>
      <c r="H9" s="1">
        <v>45721.677777777775</v>
      </c>
      <c r="I9" t="str">
        <f>"0699848"</f>
        <v>0699848</v>
      </c>
      <c r="J9">
        <v>7924</v>
      </c>
      <c r="K9" t="str">
        <f>"0830"</f>
        <v>0830</v>
      </c>
      <c r="L9">
        <v>1</v>
      </c>
      <c r="M9" t="s">
        <v>27</v>
      </c>
      <c r="N9" t="s">
        <v>202</v>
      </c>
      <c r="Q9" t="s">
        <v>29</v>
      </c>
      <c r="R9" t="s">
        <v>30</v>
      </c>
      <c r="T9">
        <v>49133831</v>
      </c>
      <c r="U9">
        <v>86001091</v>
      </c>
      <c r="V9">
        <v>127263</v>
      </c>
    </row>
    <row r="10" spans="1:22" x14ac:dyDescent="0.2">
      <c r="A10">
        <v>334015955</v>
      </c>
      <c r="B10" t="s">
        <v>199</v>
      </c>
      <c r="F10">
        <v>25</v>
      </c>
      <c r="G10" t="s">
        <v>26</v>
      </c>
      <c r="H10" s="1">
        <v>45721.678472222222</v>
      </c>
      <c r="I10" t="str">
        <f>"0702519"</f>
        <v>0702519</v>
      </c>
      <c r="J10">
        <v>3370</v>
      </c>
      <c r="K10" t="str">
        <f>"0930"</f>
        <v>0930</v>
      </c>
      <c r="L10">
        <v>1</v>
      </c>
      <c r="M10" t="s">
        <v>27</v>
      </c>
      <c r="N10" t="s">
        <v>200</v>
      </c>
      <c r="Q10" t="s">
        <v>29</v>
      </c>
      <c r="R10" t="s">
        <v>30</v>
      </c>
      <c r="T10">
        <v>49133845</v>
      </c>
      <c r="U10">
        <v>86001092</v>
      </c>
      <c r="V10">
        <v>127264</v>
      </c>
    </row>
    <row r="11" spans="1:22" x14ac:dyDescent="0.2">
      <c r="A11">
        <v>329182935</v>
      </c>
      <c r="B11" t="s">
        <v>196</v>
      </c>
      <c r="F11">
        <v>20</v>
      </c>
      <c r="G11" t="s">
        <v>26</v>
      </c>
      <c r="H11" s="1">
        <v>45721.679166666669</v>
      </c>
      <c r="I11" t="str">
        <f>"0713407"</f>
        <v>0713407</v>
      </c>
      <c r="J11">
        <v>6184</v>
      </c>
      <c r="K11" t="str">
        <f>"0630"</f>
        <v>0630</v>
      </c>
      <c r="L11">
        <v>1</v>
      </c>
      <c r="M11" t="s">
        <v>27</v>
      </c>
      <c r="N11" t="s">
        <v>197</v>
      </c>
      <c r="Q11" t="s">
        <v>29</v>
      </c>
      <c r="R11" t="s">
        <v>30</v>
      </c>
      <c r="T11">
        <v>49133900</v>
      </c>
      <c r="U11">
        <v>86001094</v>
      </c>
      <c r="V11">
        <v>127266</v>
      </c>
    </row>
    <row r="12" spans="1:22" x14ac:dyDescent="0.2">
      <c r="A12">
        <v>213342835</v>
      </c>
      <c r="B12" t="s">
        <v>198</v>
      </c>
      <c r="F12">
        <v>50</v>
      </c>
      <c r="G12" t="s">
        <v>26</v>
      </c>
      <c r="H12" s="1">
        <v>45721.679166666669</v>
      </c>
      <c r="I12" t="str">
        <f>"0713309"</f>
        <v>0713309</v>
      </c>
      <c r="J12">
        <v>6287</v>
      </c>
      <c r="K12">
        <v>1127</v>
      </c>
      <c r="L12">
        <v>1</v>
      </c>
      <c r="M12" t="s">
        <v>27</v>
      </c>
      <c r="N12" t="s">
        <v>174</v>
      </c>
      <c r="Q12" t="s">
        <v>38</v>
      </c>
      <c r="R12" t="s">
        <v>30</v>
      </c>
      <c r="T12">
        <v>49133898</v>
      </c>
      <c r="U12">
        <v>86001093</v>
      </c>
      <c r="V12">
        <v>127265</v>
      </c>
    </row>
    <row r="13" spans="1:22" x14ac:dyDescent="0.2">
      <c r="A13">
        <v>327137840</v>
      </c>
      <c r="B13" t="s">
        <v>193</v>
      </c>
      <c r="F13">
        <v>363</v>
      </c>
      <c r="G13" t="s">
        <v>26</v>
      </c>
      <c r="H13" s="1">
        <v>45721.680555555555</v>
      </c>
      <c r="I13" t="s">
        <v>194</v>
      </c>
      <c r="J13">
        <v>6605</v>
      </c>
      <c r="K13">
        <v>1127</v>
      </c>
      <c r="L13">
        <v>1</v>
      </c>
      <c r="M13" t="s">
        <v>27</v>
      </c>
      <c r="N13" t="s">
        <v>195</v>
      </c>
      <c r="Q13" t="s">
        <v>29</v>
      </c>
      <c r="R13" t="s">
        <v>30</v>
      </c>
      <c r="T13">
        <v>49133963</v>
      </c>
      <c r="U13">
        <v>86001095</v>
      </c>
      <c r="V13">
        <v>127267</v>
      </c>
    </row>
    <row r="14" spans="1:22" x14ac:dyDescent="0.2">
      <c r="A14">
        <v>215603747</v>
      </c>
      <c r="B14" t="s">
        <v>192</v>
      </c>
      <c r="F14">
        <v>20</v>
      </c>
      <c r="G14" t="s">
        <v>26</v>
      </c>
      <c r="H14" s="1">
        <v>45721.681250000001</v>
      </c>
      <c r="I14" t="str">
        <f>"0382101"</f>
        <v>0382101</v>
      </c>
      <c r="J14" t="str">
        <f>"0249"</f>
        <v>0249</v>
      </c>
      <c r="K14" t="str">
        <f>"0329"</f>
        <v>0329</v>
      </c>
      <c r="L14">
        <v>1</v>
      </c>
      <c r="M14" t="s">
        <v>27</v>
      </c>
      <c r="N14" t="s">
        <v>181</v>
      </c>
      <c r="Q14" t="s">
        <v>29</v>
      </c>
      <c r="R14" t="s">
        <v>30</v>
      </c>
      <c r="T14">
        <v>49133978</v>
      </c>
      <c r="U14">
        <v>86001096</v>
      </c>
      <c r="V14">
        <v>127268</v>
      </c>
    </row>
    <row r="15" spans="1:22" x14ac:dyDescent="0.2">
      <c r="A15">
        <v>313260143</v>
      </c>
      <c r="B15" t="s">
        <v>184</v>
      </c>
      <c r="C15" t="s">
        <v>185</v>
      </c>
      <c r="D15" t="s">
        <v>186</v>
      </c>
      <c r="E15" t="s">
        <v>187</v>
      </c>
      <c r="F15">
        <v>30</v>
      </c>
      <c r="G15" t="s">
        <v>26</v>
      </c>
      <c r="H15" s="1">
        <v>45721.681944444441</v>
      </c>
      <c r="I15" t="str">
        <f>"0423954"</f>
        <v>0423954</v>
      </c>
      <c r="J15">
        <v>2628</v>
      </c>
      <c r="K15">
        <v>1029</v>
      </c>
      <c r="L15">
        <v>1</v>
      </c>
      <c r="M15" t="s">
        <v>27</v>
      </c>
      <c r="N15" t="s">
        <v>188</v>
      </c>
      <c r="Q15" t="s">
        <v>29</v>
      </c>
      <c r="R15" t="s">
        <v>30</v>
      </c>
      <c r="T15">
        <v>49134023</v>
      </c>
      <c r="U15">
        <v>86001098</v>
      </c>
      <c r="V15">
        <v>127270</v>
      </c>
    </row>
    <row r="16" spans="1:22" x14ac:dyDescent="0.2">
      <c r="A16" t="str">
        <f>"027330620"</f>
        <v>027330620</v>
      </c>
      <c r="B16" t="s">
        <v>189</v>
      </c>
      <c r="C16" t="s">
        <v>190</v>
      </c>
      <c r="D16" t="s">
        <v>191</v>
      </c>
      <c r="F16">
        <v>50</v>
      </c>
      <c r="G16" t="s">
        <v>26</v>
      </c>
      <c r="H16" s="1">
        <v>45721.681944444441</v>
      </c>
      <c r="I16">
        <v>69740</v>
      </c>
      <c r="J16">
        <v>5716</v>
      </c>
      <c r="K16" t="str">
        <f>"0226"</f>
        <v>0226</v>
      </c>
      <c r="L16">
        <v>1</v>
      </c>
      <c r="M16" t="s">
        <v>27</v>
      </c>
      <c r="Q16" t="s">
        <v>38</v>
      </c>
      <c r="R16" t="s">
        <v>30</v>
      </c>
      <c r="T16">
        <v>49134005</v>
      </c>
      <c r="U16">
        <v>86001097</v>
      </c>
      <c r="V16">
        <v>127269</v>
      </c>
    </row>
    <row r="17" spans="1:22" x14ac:dyDescent="0.2">
      <c r="A17">
        <v>326041464</v>
      </c>
      <c r="B17" t="s">
        <v>182</v>
      </c>
      <c r="F17">
        <v>100</v>
      </c>
      <c r="G17" t="s">
        <v>26</v>
      </c>
      <c r="H17" s="1">
        <v>45721.682638888888</v>
      </c>
      <c r="I17" t="str">
        <f>"0448860"</f>
        <v>0448860</v>
      </c>
      <c r="J17">
        <v>1416</v>
      </c>
      <c r="K17">
        <v>1229</v>
      </c>
      <c r="L17">
        <v>1</v>
      </c>
      <c r="M17" t="s">
        <v>27</v>
      </c>
      <c r="N17" t="s">
        <v>183</v>
      </c>
      <c r="Q17" t="s">
        <v>29</v>
      </c>
      <c r="R17" t="s">
        <v>30</v>
      </c>
      <c r="T17">
        <v>49134045</v>
      </c>
      <c r="U17">
        <v>86001099</v>
      </c>
      <c r="V17">
        <v>127271</v>
      </c>
    </row>
    <row r="18" spans="1:22" x14ac:dyDescent="0.2">
      <c r="A18">
        <v>215865676</v>
      </c>
      <c r="B18" t="s">
        <v>180</v>
      </c>
      <c r="F18">
        <v>36</v>
      </c>
      <c r="G18" t="s">
        <v>26</v>
      </c>
      <c r="H18" s="1">
        <v>45721.684027777781</v>
      </c>
      <c r="I18" t="str">
        <f>"0758826"</f>
        <v>0758826</v>
      </c>
      <c r="J18">
        <v>9908</v>
      </c>
      <c r="K18" t="str">
        <f>"0929"</f>
        <v>0929</v>
      </c>
      <c r="L18">
        <v>1</v>
      </c>
      <c r="M18" t="s">
        <v>27</v>
      </c>
      <c r="N18" t="s">
        <v>181</v>
      </c>
      <c r="Q18" t="s">
        <v>38</v>
      </c>
      <c r="R18" t="s">
        <v>30</v>
      </c>
      <c r="T18">
        <v>49134119</v>
      </c>
      <c r="U18">
        <v>86001100</v>
      </c>
      <c r="V18">
        <v>127272</v>
      </c>
    </row>
    <row r="19" spans="1:22" x14ac:dyDescent="0.2">
      <c r="B19" t="s">
        <v>175</v>
      </c>
      <c r="C19" t="s">
        <v>176</v>
      </c>
      <c r="D19">
        <v>3338134104</v>
      </c>
      <c r="E19" t="s">
        <v>177</v>
      </c>
      <c r="F19">
        <v>50</v>
      </c>
      <c r="G19" t="s">
        <v>128</v>
      </c>
      <c r="H19" s="1">
        <v>45721.685416666667</v>
      </c>
      <c r="I19">
        <v>107801</v>
      </c>
      <c r="J19">
        <v>3004</v>
      </c>
      <c r="K19" t="str">
        <f>"0725"</f>
        <v>0725</v>
      </c>
      <c r="L19">
        <v>1</v>
      </c>
      <c r="M19" t="s">
        <v>27</v>
      </c>
      <c r="N19" t="s">
        <v>178</v>
      </c>
      <c r="Q19" t="s">
        <v>179</v>
      </c>
      <c r="R19" t="s">
        <v>30</v>
      </c>
      <c r="T19">
        <v>49134178</v>
      </c>
      <c r="U19">
        <v>86001101</v>
      </c>
      <c r="V19">
        <v>127273</v>
      </c>
    </row>
    <row r="20" spans="1:22" x14ac:dyDescent="0.2">
      <c r="A20">
        <v>215863028</v>
      </c>
      <c r="B20" t="s">
        <v>164</v>
      </c>
      <c r="C20" t="s">
        <v>165</v>
      </c>
      <c r="D20" t="s">
        <v>166</v>
      </c>
      <c r="E20" t="s">
        <v>167</v>
      </c>
      <c r="F20">
        <v>5</v>
      </c>
      <c r="G20" t="s">
        <v>26</v>
      </c>
      <c r="H20" s="1">
        <v>45721.686805555553</v>
      </c>
      <c r="I20" t="str">
        <f>"0000000"</f>
        <v>0000000</v>
      </c>
      <c r="J20">
        <v>9240</v>
      </c>
      <c r="L20">
        <v>1</v>
      </c>
      <c r="M20" t="s">
        <v>27</v>
      </c>
      <c r="Q20" t="s">
        <v>48</v>
      </c>
      <c r="R20">
        <v>30</v>
      </c>
      <c r="T20">
        <v>49134244</v>
      </c>
      <c r="V20">
        <v>127276</v>
      </c>
    </row>
    <row r="21" spans="1:22" x14ac:dyDescent="0.2">
      <c r="A21">
        <v>345516066</v>
      </c>
      <c r="B21" t="s">
        <v>168</v>
      </c>
      <c r="C21" t="s">
        <v>169</v>
      </c>
      <c r="D21" t="s">
        <v>170</v>
      </c>
      <c r="E21" t="s">
        <v>171</v>
      </c>
      <c r="F21">
        <v>50</v>
      </c>
      <c r="G21" t="s">
        <v>26</v>
      </c>
      <c r="H21" s="1">
        <v>45721.686805555553</v>
      </c>
      <c r="I21" t="str">
        <f>"0620633"</f>
        <v>0620633</v>
      </c>
      <c r="J21" t="str">
        <f>"0941"</f>
        <v>0941</v>
      </c>
      <c r="K21" t="str">
        <f>"0530"</f>
        <v>0530</v>
      </c>
      <c r="L21">
        <v>1</v>
      </c>
      <c r="M21" t="s">
        <v>27</v>
      </c>
      <c r="N21" t="s">
        <v>172</v>
      </c>
      <c r="Q21" t="s">
        <v>29</v>
      </c>
      <c r="R21" t="s">
        <v>30</v>
      </c>
      <c r="T21">
        <v>49134234</v>
      </c>
      <c r="U21">
        <v>86001103</v>
      </c>
      <c r="V21">
        <v>127275</v>
      </c>
    </row>
    <row r="22" spans="1:22" x14ac:dyDescent="0.2">
      <c r="A22">
        <v>326031606</v>
      </c>
      <c r="B22" t="s">
        <v>173</v>
      </c>
      <c r="F22">
        <v>20</v>
      </c>
      <c r="G22" t="s">
        <v>26</v>
      </c>
      <c r="H22" s="1">
        <v>45721.686805555553</v>
      </c>
      <c r="I22" t="str">
        <f>"0778962"</f>
        <v>0778962</v>
      </c>
      <c r="J22">
        <v>2818</v>
      </c>
      <c r="K22" t="str">
        <f>"0829"</f>
        <v>0829</v>
      </c>
      <c r="L22">
        <v>1</v>
      </c>
      <c r="M22" t="s">
        <v>27</v>
      </c>
      <c r="N22" t="s">
        <v>174</v>
      </c>
      <c r="Q22" t="s">
        <v>38</v>
      </c>
      <c r="R22" t="s">
        <v>30</v>
      </c>
      <c r="T22">
        <v>49134225</v>
      </c>
      <c r="U22">
        <v>86001102</v>
      </c>
      <c r="V22">
        <v>127274</v>
      </c>
    </row>
    <row r="23" spans="1:22" x14ac:dyDescent="0.2">
      <c r="A23">
        <v>214660367</v>
      </c>
      <c r="B23" t="s">
        <v>158</v>
      </c>
      <c r="C23" t="s">
        <v>159</v>
      </c>
      <c r="D23" t="s">
        <v>160</v>
      </c>
      <c r="E23" t="s">
        <v>161</v>
      </c>
      <c r="F23">
        <v>100</v>
      </c>
      <c r="G23" t="s">
        <v>26</v>
      </c>
      <c r="H23" s="1">
        <v>45721.689583333333</v>
      </c>
      <c r="I23" t="str">
        <f>"0805446"</f>
        <v>0805446</v>
      </c>
      <c r="J23">
        <v>1636</v>
      </c>
      <c r="K23">
        <v>1226</v>
      </c>
      <c r="L23">
        <v>1</v>
      </c>
      <c r="M23" t="s">
        <v>27</v>
      </c>
      <c r="Q23" t="s">
        <v>38</v>
      </c>
      <c r="R23" t="s">
        <v>30</v>
      </c>
      <c r="T23">
        <v>49134352</v>
      </c>
      <c r="U23">
        <v>86001105</v>
      </c>
      <c r="V23">
        <v>127278</v>
      </c>
    </row>
    <row r="24" spans="1:22" x14ac:dyDescent="0.2">
      <c r="A24">
        <v>305627747</v>
      </c>
      <c r="B24" t="s">
        <v>162</v>
      </c>
      <c r="F24">
        <v>50</v>
      </c>
      <c r="G24" t="s">
        <v>26</v>
      </c>
      <c r="H24" s="1">
        <v>45721.689583333333</v>
      </c>
      <c r="I24" t="str">
        <f>"0804664"</f>
        <v>0804664</v>
      </c>
      <c r="J24">
        <v>9970</v>
      </c>
      <c r="K24" t="str">
        <f>"0429"</f>
        <v>0429</v>
      </c>
      <c r="L24">
        <v>1</v>
      </c>
      <c r="M24" t="s">
        <v>27</v>
      </c>
      <c r="N24" t="s">
        <v>163</v>
      </c>
      <c r="Q24" t="s">
        <v>29</v>
      </c>
      <c r="R24" t="s">
        <v>30</v>
      </c>
      <c r="T24">
        <v>49134348</v>
      </c>
      <c r="U24">
        <v>86001104</v>
      </c>
      <c r="V24">
        <v>127277</v>
      </c>
    </row>
    <row r="25" spans="1:22" x14ac:dyDescent="0.2">
      <c r="B25" t="s">
        <v>147</v>
      </c>
      <c r="F25">
        <v>30</v>
      </c>
      <c r="G25" t="s">
        <v>26</v>
      </c>
      <c r="H25" s="1">
        <v>45721.690972222219</v>
      </c>
      <c r="I25">
        <v>47438</v>
      </c>
      <c r="J25">
        <v>4421</v>
      </c>
      <c r="K25" t="str">
        <f>"0930"</f>
        <v>0930</v>
      </c>
      <c r="L25">
        <v>1</v>
      </c>
      <c r="M25" t="s">
        <v>27</v>
      </c>
      <c r="N25" t="s">
        <v>115</v>
      </c>
      <c r="Q25" t="s">
        <v>29</v>
      </c>
      <c r="R25" t="s">
        <v>30</v>
      </c>
      <c r="T25">
        <v>49134421</v>
      </c>
      <c r="U25">
        <v>86001108</v>
      </c>
      <c r="V25">
        <v>127281</v>
      </c>
    </row>
    <row r="26" spans="1:22" x14ac:dyDescent="0.2">
      <c r="A26">
        <v>326419686</v>
      </c>
      <c r="B26" t="s">
        <v>148</v>
      </c>
      <c r="C26" t="s">
        <v>149</v>
      </c>
      <c r="D26" t="s">
        <v>150</v>
      </c>
      <c r="E26" t="s">
        <v>151</v>
      </c>
      <c r="F26">
        <v>50</v>
      </c>
      <c r="G26" t="s">
        <v>26</v>
      </c>
      <c r="H26" s="1">
        <v>45721.690972222219</v>
      </c>
      <c r="I26" t="str">
        <f>"0820389"</f>
        <v>0820389</v>
      </c>
      <c r="J26" t="str">
        <f>"0646"</f>
        <v>0646</v>
      </c>
      <c r="K26" t="str">
        <f>"0530"</f>
        <v>0530</v>
      </c>
      <c r="L26">
        <v>1</v>
      </c>
      <c r="M26" t="s">
        <v>27</v>
      </c>
      <c r="N26" t="s">
        <v>152</v>
      </c>
      <c r="Q26" t="s">
        <v>29</v>
      </c>
      <c r="R26" t="s">
        <v>30</v>
      </c>
      <c r="T26">
        <v>49134417</v>
      </c>
      <c r="U26">
        <v>86001107</v>
      </c>
      <c r="V26">
        <v>127280</v>
      </c>
    </row>
    <row r="27" spans="1:22" x14ac:dyDescent="0.2">
      <c r="A27">
        <v>329236731</v>
      </c>
      <c r="B27" t="s">
        <v>153</v>
      </c>
      <c r="C27" t="s">
        <v>154</v>
      </c>
      <c r="D27" t="s">
        <v>155</v>
      </c>
      <c r="E27" t="s">
        <v>156</v>
      </c>
      <c r="F27">
        <v>50</v>
      </c>
      <c r="G27" t="s">
        <v>26</v>
      </c>
      <c r="H27" s="1">
        <v>45721.690972222219</v>
      </c>
      <c r="I27" t="str">
        <f>"0791426"</f>
        <v>0791426</v>
      </c>
      <c r="J27">
        <v>7600</v>
      </c>
      <c r="K27" t="str">
        <f>"0728"</f>
        <v>0728</v>
      </c>
      <c r="L27">
        <v>1</v>
      </c>
      <c r="N27" t="s">
        <v>157</v>
      </c>
      <c r="Q27" t="s">
        <v>29</v>
      </c>
      <c r="R27" t="s">
        <v>30</v>
      </c>
      <c r="T27">
        <v>49134396</v>
      </c>
      <c r="U27">
        <v>86001106</v>
      </c>
      <c r="V27">
        <v>127279</v>
      </c>
    </row>
    <row r="28" spans="1:22" x14ac:dyDescent="0.2">
      <c r="B28" t="str">
        <f>"0583233506"</f>
        <v>0583233506</v>
      </c>
      <c r="D28" t="s">
        <v>141</v>
      </c>
      <c r="F28">
        <v>50</v>
      </c>
      <c r="G28" t="s">
        <v>26</v>
      </c>
      <c r="H28" s="1">
        <v>45721.691666666666</v>
      </c>
      <c r="I28" t="str">
        <f>"0836163"</f>
        <v>0836163</v>
      </c>
      <c r="J28">
        <v>4416</v>
      </c>
      <c r="K28" t="str">
        <f>"0830"</f>
        <v>0830</v>
      </c>
      <c r="L28">
        <v>1</v>
      </c>
      <c r="N28" t="s">
        <v>43</v>
      </c>
      <c r="Q28" t="s">
        <v>29</v>
      </c>
      <c r="R28" t="s">
        <v>30</v>
      </c>
      <c r="T28">
        <v>49134447</v>
      </c>
      <c r="U28">
        <v>86001110</v>
      </c>
    </row>
    <row r="29" spans="1:22" x14ac:dyDescent="0.2">
      <c r="A29" t="str">
        <f>"000000000"</f>
        <v>000000000</v>
      </c>
      <c r="B29" t="s">
        <v>142</v>
      </c>
      <c r="C29" t="s">
        <v>143</v>
      </c>
      <c r="D29" t="s">
        <v>144</v>
      </c>
      <c r="E29" t="s">
        <v>145</v>
      </c>
      <c r="F29">
        <v>120</v>
      </c>
      <c r="G29" t="s">
        <v>128</v>
      </c>
      <c r="H29" s="1">
        <v>45721.691666666666</v>
      </c>
      <c r="I29">
        <v>169583</v>
      </c>
      <c r="J29">
        <v>2561</v>
      </c>
      <c r="K29">
        <v>1126</v>
      </c>
      <c r="L29">
        <v>1</v>
      </c>
      <c r="M29" t="s">
        <v>27</v>
      </c>
      <c r="N29" t="s">
        <v>146</v>
      </c>
      <c r="Q29" t="s">
        <v>29</v>
      </c>
      <c r="R29" t="s">
        <v>30</v>
      </c>
      <c r="T29">
        <v>49134436</v>
      </c>
      <c r="U29">
        <v>86001109</v>
      </c>
      <c r="V29">
        <v>127282</v>
      </c>
    </row>
    <row r="30" spans="1:22" x14ac:dyDescent="0.2">
      <c r="A30">
        <v>332394642</v>
      </c>
      <c r="B30" t="s">
        <v>133</v>
      </c>
      <c r="C30" t="s">
        <v>134</v>
      </c>
      <c r="D30" t="s">
        <v>135</v>
      </c>
      <c r="E30" t="s">
        <v>136</v>
      </c>
      <c r="F30">
        <v>126</v>
      </c>
      <c r="G30" t="s">
        <v>26</v>
      </c>
      <c r="H30" s="1">
        <v>45721.692361111112</v>
      </c>
      <c r="I30" t="s">
        <v>137</v>
      </c>
      <c r="J30">
        <v>4466</v>
      </c>
      <c r="K30" t="str">
        <f>"0928"</f>
        <v>0928</v>
      </c>
      <c r="L30">
        <v>1</v>
      </c>
      <c r="M30" t="s">
        <v>27</v>
      </c>
      <c r="N30" t="s">
        <v>138</v>
      </c>
      <c r="Q30" t="s">
        <v>29</v>
      </c>
      <c r="R30" t="s">
        <v>30</v>
      </c>
      <c r="T30">
        <v>49134483</v>
      </c>
      <c r="U30">
        <v>86001112</v>
      </c>
      <c r="V30">
        <v>127284</v>
      </c>
    </row>
    <row r="31" spans="1:22" x14ac:dyDescent="0.2">
      <c r="A31">
        <v>332394642</v>
      </c>
      <c r="B31" t="s">
        <v>133</v>
      </c>
      <c r="C31" t="s">
        <v>134</v>
      </c>
      <c r="D31" t="s">
        <v>135</v>
      </c>
      <c r="E31" t="s">
        <v>136</v>
      </c>
      <c r="F31">
        <v>125</v>
      </c>
      <c r="G31" t="s">
        <v>26</v>
      </c>
      <c r="H31" s="1">
        <v>45721.692361111112</v>
      </c>
      <c r="I31" t="s">
        <v>139</v>
      </c>
      <c r="J31">
        <v>4466</v>
      </c>
      <c r="K31" t="str">
        <f>"0928"</f>
        <v>0928</v>
      </c>
      <c r="L31">
        <v>1</v>
      </c>
      <c r="M31" t="s">
        <v>27</v>
      </c>
      <c r="N31" t="s">
        <v>140</v>
      </c>
      <c r="Q31" t="s">
        <v>29</v>
      </c>
      <c r="R31" t="s">
        <v>30</v>
      </c>
      <c r="T31">
        <v>49134470</v>
      </c>
      <c r="U31">
        <v>86001111</v>
      </c>
      <c r="V31">
        <v>127283</v>
      </c>
    </row>
    <row r="32" spans="1:22" x14ac:dyDescent="0.2">
      <c r="A32">
        <v>323777110</v>
      </c>
      <c r="B32" t="s">
        <v>131</v>
      </c>
      <c r="F32">
        <v>50</v>
      </c>
      <c r="G32" t="s">
        <v>26</v>
      </c>
      <c r="H32" s="1">
        <v>45721.693749999999</v>
      </c>
      <c r="I32" t="str">
        <f>"0848197"</f>
        <v>0848197</v>
      </c>
      <c r="J32">
        <v>2756</v>
      </c>
      <c r="K32" t="str">
        <f>"0725"</f>
        <v>0725</v>
      </c>
      <c r="L32">
        <v>1</v>
      </c>
      <c r="M32" t="s">
        <v>27</v>
      </c>
      <c r="N32" t="s">
        <v>132</v>
      </c>
      <c r="Q32" t="s">
        <v>38</v>
      </c>
      <c r="R32" t="s">
        <v>30</v>
      </c>
      <c r="T32">
        <v>49134548</v>
      </c>
      <c r="U32">
        <v>86001113</v>
      </c>
      <c r="V32">
        <v>127285</v>
      </c>
    </row>
    <row r="33" spans="1:22" x14ac:dyDescent="0.2">
      <c r="A33">
        <v>326904687</v>
      </c>
      <c r="B33" t="s">
        <v>120</v>
      </c>
      <c r="C33" t="s">
        <v>121</v>
      </c>
      <c r="D33" t="s">
        <v>122</v>
      </c>
      <c r="E33" t="s">
        <v>123</v>
      </c>
      <c r="F33">
        <v>360</v>
      </c>
      <c r="G33" t="s">
        <v>26</v>
      </c>
      <c r="H33" s="1">
        <v>45721.694444444445</v>
      </c>
      <c r="I33" t="str">
        <f>"0969394"</f>
        <v>0969394</v>
      </c>
      <c r="J33">
        <v>3873</v>
      </c>
      <c r="K33" t="str">
        <f>"0130"</f>
        <v>0130</v>
      </c>
      <c r="L33">
        <v>1</v>
      </c>
      <c r="M33" t="s">
        <v>27</v>
      </c>
      <c r="Q33" t="s">
        <v>29</v>
      </c>
      <c r="R33" t="s">
        <v>30</v>
      </c>
      <c r="T33">
        <v>49134654</v>
      </c>
      <c r="U33">
        <v>86001115</v>
      </c>
      <c r="V33">
        <v>127286</v>
      </c>
    </row>
    <row r="34" spans="1:22" x14ac:dyDescent="0.2">
      <c r="A34">
        <v>342767415</v>
      </c>
      <c r="B34" t="s">
        <v>124</v>
      </c>
      <c r="C34" t="s">
        <v>125</v>
      </c>
      <c r="D34" t="s">
        <v>126</v>
      </c>
      <c r="E34" t="s">
        <v>127</v>
      </c>
      <c r="F34">
        <v>18</v>
      </c>
      <c r="G34" t="s">
        <v>128</v>
      </c>
      <c r="H34" s="1">
        <v>45721.694444444445</v>
      </c>
      <c r="I34" t="s">
        <v>129</v>
      </c>
      <c r="J34">
        <v>3138</v>
      </c>
      <c r="K34" t="str">
        <f>"0829"</f>
        <v>0829</v>
      </c>
      <c r="L34" t="s">
        <v>130</v>
      </c>
      <c r="M34" t="s">
        <v>27</v>
      </c>
      <c r="Q34" t="s">
        <v>29</v>
      </c>
      <c r="R34" t="s">
        <v>30</v>
      </c>
      <c r="S34">
        <v>1672043</v>
      </c>
      <c r="T34">
        <v>49134636</v>
      </c>
      <c r="U34">
        <v>86001114</v>
      </c>
    </row>
    <row r="35" spans="1:22" x14ac:dyDescent="0.2">
      <c r="A35">
        <v>327659322</v>
      </c>
      <c r="B35" t="s">
        <v>116</v>
      </c>
      <c r="C35" t="s">
        <v>117</v>
      </c>
      <c r="D35" t="s">
        <v>118</v>
      </c>
      <c r="E35" t="s">
        <v>119</v>
      </c>
      <c r="F35">
        <v>20</v>
      </c>
      <c r="G35" t="s">
        <v>26</v>
      </c>
      <c r="H35" s="1">
        <v>45721.695138888892</v>
      </c>
      <c r="I35">
        <v>64109</v>
      </c>
      <c r="J35">
        <v>3999</v>
      </c>
      <c r="K35" t="str">
        <f>"0928"</f>
        <v>0928</v>
      </c>
      <c r="L35">
        <v>1</v>
      </c>
      <c r="M35" t="s">
        <v>27</v>
      </c>
      <c r="Q35" t="s">
        <v>29</v>
      </c>
      <c r="R35" t="s">
        <v>30</v>
      </c>
      <c r="T35">
        <v>49134695</v>
      </c>
      <c r="U35">
        <v>86001116</v>
      </c>
      <c r="V35">
        <v>127287</v>
      </c>
    </row>
    <row r="36" spans="1:22" x14ac:dyDescent="0.2">
      <c r="A36" t="str">
        <f>"040925844"</f>
        <v>040925844</v>
      </c>
      <c r="B36" t="s">
        <v>110</v>
      </c>
      <c r="C36" t="s">
        <v>111</v>
      </c>
      <c r="E36" t="s">
        <v>112</v>
      </c>
      <c r="F36">
        <v>100</v>
      </c>
      <c r="G36" t="s">
        <v>26</v>
      </c>
      <c r="H36" s="1">
        <v>45721.695833333331</v>
      </c>
      <c r="I36" t="str">
        <f>"0870635"</f>
        <v>0870635</v>
      </c>
      <c r="J36">
        <v>3100</v>
      </c>
      <c r="K36" t="str">
        <f>"0930"</f>
        <v>0930</v>
      </c>
      <c r="L36">
        <v>1</v>
      </c>
      <c r="M36" t="s">
        <v>27</v>
      </c>
      <c r="N36" t="s">
        <v>113</v>
      </c>
      <c r="Q36" t="s">
        <v>38</v>
      </c>
      <c r="R36" t="s">
        <v>30</v>
      </c>
      <c r="T36">
        <v>49134736</v>
      </c>
      <c r="U36">
        <v>86001118</v>
      </c>
      <c r="V36">
        <v>127289</v>
      </c>
    </row>
    <row r="37" spans="1:22" x14ac:dyDescent="0.2">
      <c r="B37" t="s">
        <v>114</v>
      </c>
      <c r="F37">
        <v>20</v>
      </c>
      <c r="G37" t="s">
        <v>26</v>
      </c>
      <c r="H37" s="1">
        <v>45721.695833333331</v>
      </c>
      <c r="I37" t="str">
        <f>"0015099"</f>
        <v>0015099</v>
      </c>
      <c r="J37">
        <v>9417</v>
      </c>
      <c r="K37" t="str">
        <f>"0630"</f>
        <v>0630</v>
      </c>
      <c r="L37">
        <v>1</v>
      </c>
      <c r="M37" t="s">
        <v>27</v>
      </c>
      <c r="N37" t="s">
        <v>115</v>
      </c>
      <c r="Q37" t="s">
        <v>29</v>
      </c>
      <c r="R37" t="s">
        <v>30</v>
      </c>
      <c r="T37">
        <v>49134713</v>
      </c>
      <c r="U37">
        <v>86001117</v>
      </c>
      <c r="V37">
        <v>127288</v>
      </c>
    </row>
    <row r="38" spans="1:22" x14ac:dyDescent="0.2">
      <c r="A38">
        <v>300737676</v>
      </c>
      <c r="B38" t="s">
        <v>100</v>
      </c>
      <c r="C38" t="s">
        <v>101</v>
      </c>
      <c r="D38" t="s">
        <v>102</v>
      </c>
      <c r="E38" t="s">
        <v>103</v>
      </c>
      <c r="F38">
        <v>200</v>
      </c>
      <c r="G38" t="s">
        <v>26</v>
      </c>
      <c r="H38" s="1">
        <v>45721.697222222225</v>
      </c>
      <c r="I38">
        <v>67226</v>
      </c>
      <c r="J38">
        <v>8516</v>
      </c>
      <c r="K38" t="str">
        <f>"0627"</f>
        <v>0627</v>
      </c>
      <c r="L38">
        <v>1</v>
      </c>
      <c r="M38" t="s">
        <v>27</v>
      </c>
      <c r="N38" t="s">
        <v>56</v>
      </c>
      <c r="Q38" t="s">
        <v>29</v>
      </c>
      <c r="R38" t="s">
        <v>30</v>
      </c>
      <c r="T38">
        <v>49134809</v>
      </c>
      <c r="U38">
        <v>86001121</v>
      </c>
      <c r="V38">
        <v>127292</v>
      </c>
    </row>
    <row r="39" spans="1:22" x14ac:dyDescent="0.2">
      <c r="A39">
        <v>213661689</v>
      </c>
      <c r="B39" t="s">
        <v>104</v>
      </c>
      <c r="C39" t="s">
        <v>105</v>
      </c>
      <c r="D39" t="s">
        <v>106</v>
      </c>
      <c r="E39" t="s">
        <v>107</v>
      </c>
      <c r="F39">
        <v>100</v>
      </c>
      <c r="G39" t="s">
        <v>26</v>
      </c>
      <c r="H39" s="1">
        <v>45721.697222222225</v>
      </c>
      <c r="I39" t="str">
        <f>"0080127"</f>
        <v>0080127</v>
      </c>
      <c r="J39">
        <v>9848</v>
      </c>
      <c r="K39">
        <v>1028</v>
      </c>
      <c r="L39">
        <v>1</v>
      </c>
      <c r="M39" t="s">
        <v>27</v>
      </c>
      <c r="N39" t="s">
        <v>56</v>
      </c>
      <c r="Q39" t="s">
        <v>29</v>
      </c>
      <c r="R39" t="s">
        <v>30</v>
      </c>
      <c r="T39">
        <v>49134799</v>
      </c>
      <c r="U39">
        <v>86001120</v>
      </c>
      <c r="V39">
        <v>127291</v>
      </c>
    </row>
    <row r="40" spans="1:22" x14ac:dyDescent="0.2">
      <c r="A40">
        <v>325068823</v>
      </c>
      <c r="B40" t="s">
        <v>108</v>
      </c>
      <c r="F40">
        <v>100</v>
      </c>
      <c r="G40" t="s">
        <v>26</v>
      </c>
      <c r="H40" s="1">
        <v>45721.697222222225</v>
      </c>
      <c r="I40" t="str">
        <f>"0879968"</f>
        <v>0879968</v>
      </c>
      <c r="J40">
        <v>7318</v>
      </c>
      <c r="K40" t="str">
        <f>"0227"</f>
        <v>0227</v>
      </c>
      <c r="L40">
        <v>1</v>
      </c>
      <c r="M40" t="s">
        <v>27</v>
      </c>
      <c r="N40" t="s">
        <v>109</v>
      </c>
      <c r="Q40" t="s">
        <v>38</v>
      </c>
      <c r="R40" t="s">
        <v>30</v>
      </c>
      <c r="T40">
        <v>49134784</v>
      </c>
      <c r="U40">
        <v>86001119</v>
      </c>
      <c r="V40">
        <v>127290</v>
      </c>
    </row>
    <row r="41" spans="1:22" x14ac:dyDescent="0.2">
      <c r="A41">
        <v>326243284</v>
      </c>
      <c r="B41" t="s">
        <v>99</v>
      </c>
      <c r="F41">
        <v>100</v>
      </c>
      <c r="G41" t="s">
        <v>26</v>
      </c>
      <c r="H41" s="1">
        <v>45721.698611111111</v>
      </c>
      <c r="I41" t="str">
        <f>"0894692"</f>
        <v>0894692</v>
      </c>
      <c r="J41">
        <v>2914</v>
      </c>
      <c r="K41">
        <v>1130</v>
      </c>
      <c r="L41">
        <v>1</v>
      </c>
      <c r="M41" t="s">
        <v>27</v>
      </c>
      <c r="N41" t="s">
        <v>99</v>
      </c>
      <c r="Q41" t="s">
        <v>38</v>
      </c>
      <c r="R41" t="s">
        <v>30</v>
      </c>
      <c r="T41">
        <v>49134886</v>
      </c>
      <c r="U41">
        <v>86001122</v>
      </c>
      <c r="V41">
        <v>127293</v>
      </c>
    </row>
    <row r="42" spans="1:22" x14ac:dyDescent="0.2">
      <c r="A42">
        <v>211501929</v>
      </c>
      <c r="B42" t="s">
        <v>91</v>
      </c>
      <c r="C42" t="s">
        <v>92</v>
      </c>
      <c r="D42" t="s">
        <v>93</v>
      </c>
      <c r="E42" t="s">
        <v>94</v>
      </c>
      <c r="F42">
        <v>250</v>
      </c>
      <c r="G42" t="s">
        <v>26</v>
      </c>
      <c r="H42" s="1">
        <v>45721.7</v>
      </c>
      <c r="I42" t="str">
        <f>"0908955"</f>
        <v>0908955</v>
      </c>
      <c r="J42">
        <v>9707</v>
      </c>
      <c r="K42">
        <v>1130</v>
      </c>
      <c r="L42">
        <v>1</v>
      </c>
      <c r="M42" t="s">
        <v>27</v>
      </c>
      <c r="N42" t="s">
        <v>95</v>
      </c>
      <c r="Q42" t="s">
        <v>38</v>
      </c>
      <c r="R42" t="s">
        <v>30</v>
      </c>
      <c r="T42">
        <v>49134985</v>
      </c>
      <c r="U42">
        <v>86001125</v>
      </c>
      <c r="V42">
        <v>127296</v>
      </c>
    </row>
    <row r="43" spans="1:22" x14ac:dyDescent="0.2">
      <c r="A43">
        <v>318991221</v>
      </c>
      <c r="B43" t="s">
        <v>96</v>
      </c>
      <c r="F43">
        <v>50</v>
      </c>
      <c r="G43" t="s">
        <v>26</v>
      </c>
      <c r="H43" s="1">
        <v>45721.7</v>
      </c>
      <c r="I43">
        <v>75395</v>
      </c>
      <c r="J43">
        <v>1349</v>
      </c>
      <c r="K43" t="str">
        <f>"0227"</f>
        <v>0227</v>
      </c>
      <c r="L43">
        <v>1</v>
      </c>
      <c r="M43" t="s">
        <v>27</v>
      </c>
      <c r="N43" t="s">
        <v>69</v>
      </c>
      <c r="Q43" t="s">
        <v>29</v>
      </c>
      <c r="R43" t="s">
        <v>30</v>
      </c>
      <c r="T43">
        <v>49134975</v>
      </c>
      <c r="U43">
        <v>86001124</v>
      </c>
      <c r="V43">
        <v>127295</v>
      </c>
    </row>
    <row r="44" spans="1:22" x14ac:dyDescent="0.2">
      <c r="A44">
        <v>303068688</v>
      </c>
      <c r="B44" t="s">
        <v>97</v>
      </c>
      <c r="F44">
        <v>50</v>
      </c>
      <c r="G44" t="s">
        <v>26</v>
      </c>
      <c r="H44" s="1">
        <v>45721.7</v>
      </c>
      <c r="I44">
        <v>74619</v>
      </c>
      <c r="J44">
        <v>8951</v>
      </c>
      <c r="K44" t="str">
        <f>"0126"</f>
        <v>0126</v>
      </c>
      <c r="L44">
        <v>1</v>
      </c>
      <c r="M44" t="s">
        <v>27</v>
      </c>
      <c r="N44" t="s">
        <v>98</v>
      </c>
      <c r="Q44" t="s">
        <v>29</v>
      </c>
      <c r="R44" t="s">
        <v>30</v>
      </c>
      <c r="T44">
        <v>49134952</v>
      </c>
      <c r="U44">
        <v>86001123</v>
      </c>
      <c r="V44">
        <v>127294</v>
      </c>
    </row>
    <row r="45" spans="1:22" x14ac:dyDescent="0.2">
      <c r="A45" t="str">
        <f>"058731696"</f>
        <v>058731696</v>
      </c>
      <c r="B45" t="s">
        <v>89</v>
      </c>
      <c r="F45">
        <v>300</v>
      </c>
      <c r="G45" t="s">
        <v>26</v>
      </c>
      <c r="H45" s="1">
        <v>45721.700694444444</v>
      </c>
      <c r="I45" t="str">
        <f>"0915460"</f>
        <v>0915460</v>
      </c>
      <c r="J45">
        <v>5144</v>
      </c>
      <c r="K45">
        <v>1230</v>
      </c>
      <c r="L45">
        <v>1</v>
      </c>
      <c r="M45" t="s">
        <v>27</v>
      </c>
      <c r="N45" t="s">
        <v>90</v>
      </c>
      <c r="Q45" t="s">
        <v>29</v>
      </c>
      <c r="R45" t="s">
        <v>30</v>
      </c>
      <c r="T45">
        <v>49135025</v>
      </c>
      <c r="U45">
        <v>86001126</v>
      </c>
      <c r="V45">
        <v>127297</v>
      </c>
    </row>
    <row r="46" spans="1:22" x14ac:dyDescent="0.2">
      <c r="A46" t="str">
        <f>"025124330"</f>
        <v>025124330</v>
      </c>
      <c r="B46" t="s">
        <v>72</v>
      </c>
      <c r="C46" t="s">
        <v>73</v>
      </c>
      <c r="D46" t="s">
        <v>74</v>
      </c>
      <c r="E46" t="s">
        <v>75</v>
      </c>
      <c r="F46">
        <v>100</v>
      </c>
      <c r="G46" t="s">
        <v>26</v>
      </c>
      <c r="H46" s="1">
        <v>45721.70208333333</v>
      </c>
      <c r="I46" t="str">
        <f>"0302406"</f>
        <v>0302406</v>
      </c>
      <c r="J46" t="str">
        <f>"0740"</f>
        <v>0740</v>
      </c>
      <c r="K46" t="str">
        <f>"0430"</f>
        <v>0430</v>
      </c>
      <c r="L46">
        <v>1</v>
      </c>
      <c r="M46" t="s">
        <v>27</v>
      </c>
      <c r="N46" t="s">
        <v>76</v>
      </c>
      <c r="Q46" t="s">
        <v>29</v>
      </c>
      <c r="R46" t="s">
        <v>30</v>
      </c>
      <c r="T46">
        <v>49135103</v>
      </c>
      <c r="U46">
        <v>86001130</v>
      </c>
      <c r="V46">
        <v>127301</v>
      </c>
    </row>
    <row r="47" spans="1:22" x14ac:dyDescent="0.2">
      <c r="A47">
        <v>328229067</v>
      </c>
      <c r="B47" t="s">
        <v>77</v>
      </c>
      <c r="C47" t="s">
        <v>78</v>
      </c>
      <c r="D47" t="s">
        <v>79</v>
      </c>
      <c r="E47" t="s">
        <v>80</v>
      </c>
      <c r="F47">
        <v>224.9</v>
      </c>
      <c r="G47" t="s">
        <v>26</v>
      </c>
      <c r="H47" s="1">
        <v>45721.70208333333</v>
      </c>
      <c r="I47">
        <v>169159</v>
      </c>
      <c r="J47">
        <v>7630</v>
      </c>
      <c r="K47" t="str">
        <f>"0327"</f>
        <v>0327</v>
      </c>
      <c r="L47">
        <v>1</v>
      </c>
      <c r="M47" t="s">
        <v>27</v>
      </c>
      <c r="N47" t="s">
        <v>81</v>
      </c>
      <c r="Q47" t="s">
        <v>29</v>
      </c>
      <c r="R47" t="s">
        <v>30</v>
      </c>
      <c r="T47">
        <v>49135095</v>
      </c>
      <c r="U47">
        <v>86001129</v>
      </c>
      <c r="V47">
        <v>127300</v>
      </c>
    </row>
    <row r="48" spans="1:22" x14ac:dyDescent="0.2">
      <c r="A48">
        <v>327201224</v>
      </c>
      <c r="B48" t="s">
        <v>82</v>
      </c>
      <c r="F48">
        <v>150</v>
      </c>
      <c r="G48" t="s">
        <v>26</v>
      </c>
      <c r="H48" s="1">
        <v>45721.70208333333</v>
      </c>
      <c r="I48" t="str">
        <f>"0927623"</f>
        <v>0927623</v>
      </c>
      <c r="J48">
        <v>5775</v>
      </c>
      <c r="K48">
        <v>1229</v>
      </c>
      <c r="L48">
        <v>1</v>
      </c>
      <c r="M48" t="s">
        <v>27</v>
      </c>
      <c r="N48" t="s">
        <v>83</v>
      </c>
      <c r="Q48" t="s">
        <v>38</v>
      </c>
      <c r="R48" t="s">
        <v>30</v>
      </c>
      <c r="T48">
        <v>49135087</v>
      </c>
      <c r="U48">
        <v>86001128</v>
      </c>
      <c r="V48">
        <v>127299</v>
      </c>
    </row>
    <row r="49" spans="1:22" x14ac:dyDescent="0.2">
      <c r="A49">
        <v>770392645</v>
      </c>
      <c r="B49" t="s">
        <v>84</v>
      </c>
      <c r="C49" t="s">
        <v>85</v>
      </c>
      <c r="D49" t="s">
        <v>86</v>
      </c>
      <c r="E49" t="s">
        <v>87</v>
      </c>
      <c r="F49">
        <v>100</v>
      </c>
      <c r="G49" t="s">
        <v>26</v>
      </c>
      <c r="H49" s="1">
        <v>45721.70208333333</v>
      </c>
      <c r="I49" t="str">
        <f>"0279323"</f>
        <v>0279323</v>
      </c>
      <c r="J49">
        <v>1774</v>
      </c>
      <c r="K49" t="str">
        <f>"0530"</f>
        <v>0530</v>
      </c>
      <c r="L49">
        <v>1</v>
      </c>
      <c r="M49" t="s">
        <v>27</v>
      </c>
      <c r="N49" t="s">
        <v>88</v>
      </c>
      <c r="Q49" t="s">
        <v>29</v>
      </c>
      <c r="R49" t="s">
        <v>30</v>
      </c>
      <c r="T49">
        <v>49135078</v>
      </c>
      <c r="U49">
        <v>86001127</v>
      </c>
      <c r="V49">
        <v>127298</v>
      </c>
    </row>
    <row r="50" spans="1:22" x14ac:dyDescent="0.2">
      <c r="A50">
        <v>213895873</v>
      </c>
      <c r="B50" t="s">
        <v>70</v>
      </c>
      <c r="C50" t="s">
        <v>71</v>
      </c>
      <c r="F50">
        <v>50</v>
      </c>
      <c r="G50" t="s">
        <v>26</v>
      </c>
      <c r="H50" s="1">
        <v>45721.702777777777</v>
      </c>
      <c r="I50" t="str">
        <f>"0933797"</f>
        <v>0933797</v>
      </c>
      <c r="J50">
        <v>3695</v>
      </c>
      <c r="K50" t="str">
        <f>"0330"</f>
        <v>0330</v>
      </c>
      <c r="L50">
        <v>1</v>
      </c>
      <c r="M50" t="s">
        <v>27</v>
      </c>
      <c r="N50" t="s">
        <v>56</v>
      </c>
      <c r="Q50" t="s">
        <v>38</v>
      </c>
      <c r="R50" t="s">
        <v>30</v>
      </c>
      <c r="T50">
        <v>49135110</v>
      </c>
      <c r="U50">
        <v>86001131</v>
      </c>
      <c r="V50">
        <v>127302</v>
      </c>
    </row>
    <row r="51" spans="1:22" x14ac:dyDescent="0.2">
      <c r="A51">
        <v>300757382</v>
      </c>
      <c r="B51" t="s">
        <v>68</v>
      </c>
      <c r="F51">
        <v>50</v>
      </c>
      <c r="G51" t="s">
        <v>26</v>
      </c>
      <c r="H51" s="1">
        <v>45721.703472222223</v>
      </c>
      <c r="I51" t="str">
        <f>"0943262"</f>
        <v>0943262</v>
      </c>
      <c r="J51">
        <v>5771</v>
      </c>
      <c r="K51">
        <v>1127</v>
      </c>
      <c r="L51">
        <v>1</v>
      </c>
      <c r="M51" t="s">
        <v>27</v>
      </c>
      <c r="N51" t="s">
        <v>69</v>
      </c>
      <c r="Q51" t="s">
        <v>38</v>
      </c>
      <c r="R51" t="s">
        <v>30</v>
      </c>
      <c r="T51">
        <v>49135167</v>
      </c>
      <c r="U51">
        <v>86001132</v>
      </c>
      <c r="V51">
        <v>127303</v>
      </c>
    </row>
    <row r="52" spans="1:22" x14ac:dyDescent="0.2">
      <c r="A52">
        <v>328587290</v>
      </c>
      <c r="B52" t="s">
        <v>61</v>
      </c>
      <c r="C52" t="s">
        <v>62</v>
      </c>
      <c r="D52" t="s">
        <v>63</v>
      </c>
      <c r="E52" t="s">
        <v>64</v>
      </c>
      <c r="F52">
        <v>100</v>
      </c>
      <c r="G52" t="s">
        <v>26</v>
      </c>
      <c r="H52" s="1">
        <v>45721.70416666667</v>
      </c>
      <c r="I52" t="str">
        <f>"0384008"</f>
        <v>0384008</v>
      </c>
      <c r="J52">
        <v>1569</v>
      </c>
      <c r="K52" t="str">
        <f>"0428"</f>
        <v>0428</v>
      </c>
      <c r="L52">
        <v>1</v>
      </c>
      <c r="M52" t="s">
        <v>27</v>
      </c>
      <c r="N52" t="s">
        <v>65</v>
      </c>
      <c r="Q52" t="s">
        <v>29</v>
      </c>
      <c r="R52" t="s">
        <v>30</v>
      </c>
      <c r="T52">
        <v>49135198</v>
      </c>
      <c r="U52">
        <v>86001134</v>
      </c>
      <c r="V52">
        <v>127305</v>
      </c>
    </row>
    <row r="53" spans="1:22" x14ac:dyDescent="0.2">
      <c r="A53">
        <v>213166317</v>
      </c>
      <c r="B53" t="s">
        <v>66</v>
      </c>
      <c r="C53" t="s">
        <v>67</v>
      </c>
      <c r="F53">
        <v>20</v>
      </c>
      <c r="G53" t="s">
        <v>26</v>
      </c>
      <c r="H53" s="1">
        <v>45721.70416666667</v>
      </c>
      <c r="I53">
        <v>87929</v>
      </c>
      <c r="J53">
        <v>5841</v>
      </c>
      <c r="K53" t="str">
        <f>"0827"</f>
        <v>0827</v>
      </c>
      <c r="L53">
        <v>1</v>
      </c>
      <c r="M53" t="s">
        <v>27</v>
      </c>
      <c r="N53" t="s">
        <v>56</v>
      </c>
      <c r="Q53" t="s">
        <v>29</v>
      </c>
      <c r="R53" t="s">
        <v>30</v>
      </c>
      <c r="T53">
        <v>49135195</v>
      </c>
      <c r="U53">
        <v>86001133</v>
      </c>
      <c r="V53">
        <v>127304</v>
      </c>
    </row>
    <row r="54" spans="1:22" x14ac:dyDescent="0.2">
      <c r="A54">
        <v>329706261</v>
      </c>
      <c r="B54" t="s">
        <v>57</v>
      </c>
      <c r="C54" t="s">
        <v>58</v>
      </c>
      <c r="D54" t="s">
        <v>59</v>
      </c>
      <c r="E54" t="s">
        <v>60</v>
      </c>
      <c r="F54">
        <v>20</v>
      </c>
      <c r="G54" t="s">
        <v>26</v>
      </c>
      <c r="H54" s="1">
        <v>45721.704861111109</v>
      </c>
      <c r="I54">
        <v>90886</v>
      </c>
      <c r="J54" t="str">
        <f>"0447"</f>
        <v>0447</v>
      </c>
      <c r="K54" t="str">
        <f>"0728"</f>
        <v>0728</v>
      </c>
      <c r="L54">
        <v>1</v>
      </c>
      <c r="M54" t="s">
        <v>27</v>
      </c>
      <c r="Q54" t="s">
        <v>29</v>
      </c>
      <c r="R54" t="s">
        <v>30</v>
      </c>
      <c r="T54">
        <v>49135248</v>
      </c>
      <c r="U54">
        <v>86001135</v>
      </c>
      <c r="V54">
        <v>127306</v>
      </c>
    </row>
    <row r="55" spans="1:22" x14ac:dyDescent="0.2">
      <c r="A55">
        <v>204180905</v>
      </c>
      <c r="B55" t="s">
        <v>55</v>
      </c>
      <c r="F55">
        <v>50</v>
      </c>
      <c r="G55" t="s">
        <v>26</v>
      </c>
      <c r="H55" s="1">
        <v>45721.705555555556</v>
      </c>
      <c r="I55" t="str">
        <f>"0963444"</f>
        <v>0963444</v>
      </c>
      <c r="J55">
        <v>9053</v>
      </c>
      <c r="K55" t="str">
        <f>"0427"</f>
        <v>0427</v>
      </c>
      <c r="L55">
        <v>1</v>
      </c>
      <c r="M55" t="s">
        <v>27</v>
      </c>
      <c r="N55" t="s">
        <v>56</v>
      </c>
      <c r="Q55" t="s">
        <v>38</v>
      </c>
      <c r="R55" t="s">
        <v>30</v>
      </c>
      <c r="T55">
        <v>49135274</v>
      </c>
      <c r="U55">
        <v>86001136</v>
      </c>
      <c r="V55">
        <v>127307</v>
      </c>
    </row>
    <row r="56" spans="1:22" x14ac:dyDescent="0.2">
      <c r="B56" t="s">
        <v>49</v>
      </c>
      <c r="C56" t="s">
        <v>50</v>
      </c>
      <c r="D56" t="s">
        <v>51</v>
      </c>
      <c r="E56" t="s">
        <v>52</v>
      </c>
      <c r="F56">
        <v>30</v>
      </c>
      <c r="G56" t="s">
        <v>26</v>
      </c>
      <c r="H56" s="1">
        <v>45721.706944444442</v>
      </c>
      <c r="I56">
        <v>96206</v>
      </c>
      <c r="J56">
        <v>4324</v>
      </c>
      <c r="K56" t="str">
        <f>"0929"</f>
        <v>0929</v>
      </c>
      <c r="L56" t="s">
        <v>53</v>
      </c>
      <c r="M56" t="s">
        <v>27</v>
      </c>
      <c r="N56" t="s">
        <v>54</v>
      </c>
      <c r="Q56" t="s">
        <v>29</v>
      </c>
      <c r="R56" t="s">
        <v>30</v>
      </c>
      <c r="T56">
        <v>49135360</v>
      </c>
      <c r="U56">
        <v>86001137</v>
      </c>
      <c r="V56">
        <v>127308</v>
      </c>
    </row>
    <row r="57" spans="1:22" x14ac:dyDescent="0.2">
      <c r="B57" t="str">
        <f>"0548499569"</f>
        <v>0548499569</v>
      </c>
      <c r="D57" t="s">
        <v>42</v>
      </c>
      <c r="F57">
        <v>30</v>
      </c>
      <c r="G57" t="s">
        <v>26</v>
      </c>
      <c r="H57" s="1">
        <v>45721.708333333336</v>
      </c>
      <c r="I57" t="str">
        <f>"0989989"</f>
        <v>0989989</v>
      </c>
      <c r="J57">
        <v>8356</v>
      </c>
      <c r="K57">
        <v>1127</v>
      </c>
      <c r="L57">
        <v>1</v>
      </c>
      <c r="N57" t="s">
        <v>43</v>
      </c>
      <c r="Q57" t="s">
        <v>38</v>
      </c>
      <c r="R57" t="s">
        <v>30</v>
      </c>
      <c r="T57">
        <v>49135458</v>
      </c>
      <c r="U57">
        <v>86001138</v>
      </c>
    </row>
    <row r="58" spans="1:22" x14ac:dyDescent="0.2">
      <c r="A58">
        <v>215296625</v>
      </c>
      <c r="B58" t="s">
        <v>44</v>
      </c>
      <c r="C58" t="s">
        <v>45</v>
      </c>
      <c r="D58" t="s">
        <v>46</v>
      </c>
      <c r="E58" t="s">
        <v>47</v>
      </c>
      <c r="F58">
        <v>450</v>
      </c>
      <c r="G58" t="s">
        <v>26</v>
      </c>
      <c r="H58" s="1">
        <v>45721.708333333336</v>
      </c>
      <c r="I58" t="str">
        <f>"0000000"</f>
        <v>0000000</v>
      </c>
      <c r="J58">
        <v>1017</v>
      </c>
      <c r="L58">
        <v>1</v>
      </c>
      <c r="M58" t="s">
        <v>27</v>
      </c>
      <c r="Q58" t="s">
        <v>48</v>
      </c>
      <c r="R58">
        <v>30</v>
      </c>
      <c r="T58">
        <v>49135422</v>
      </c>
      <c r="V58">
        <v>127309</v>
      </c>
    </row>
    <row r="59" spans="1:22" x14ac:dyDescent="0.2">
      <c r="A59">
        <v>326938230</v>
      </c>
      <c r="B59" t="s">
        <v>33</v>
      </c>
      <c r="C59" t="s">
        <v>34</v>
      </c>
      <c r="D59" t="s">
        <v>35</v>
      </c>
      <c r="E59" t="s">
        <v>36</v>
      </c>
      <c r="F59">
        <v>45</v>
      </c>
      <c r="G59" t="s">
        <v>26</v>
      </c>
      <c r="H59" s="1">
        <v>45721.709027777775</v>
      </c>
      <c r="I59" t="str">
        <f>"0997702"</f>
        <v>0997702</v>
      </c>
      <c r="J59">
        <v>1975</v>
      </c>
      <c r="K59" t="str">
        <f>"0930"</f>
        <v>0930</v>
      </c>
      <c r="L59">
        <v>1</v>
      </c>
      <c r="M59" t="s">
        <v>27</v>
      </c>
      <c r="N59" t="s">
        <v>37</v>
      </c>
      <c r="Q59" t="s">
        <v>38</v>
      </c>
      <c r="R59" t="s">
        <v>30</v>
      </c>
      <c r="T59">
        <v>49135492</v>
      </c>
      <c r="U59">
        <v>86001140</v>
      </c>
      <c r="V59">
        <v>127311</v>
      </c>
    </row>
    <row r="60" spans="1:22" x14ac:dyDescent="0.2">
      <c r="A60">
        <v>214802381</v>
      </c>
      <c r="B60" t="s">
        <v>39</v>
      </c>
      <c r="E60" t="s">
        <v>40</v>
      </c>
      <c r="F60">
        <v>20</v>
      </c>
      <c r="G60" t="s">
        <v>26</v>
      </c>
      <c r="H60" s="1">
        <v>45721.709027777775</v>
      </c>
      <c r="I60" t="str">
        <f>"0995811"</f>
        <v>0995811</v>
      </c>
      <c r="J60">
        <v>4783</v>
      </c>
      <c r="K60">
        <v>1230</v>
      </c>
      <c r="L60">
        <v>1</v>
      </c>
      <c r="M60" t="s">
        <v>27</v>
      </c>
      <c r="N60" t="s">
        <v>41</v>
      </c>
      <c r="Q60" t="s">
        <v>38</v>
      </c>
      <c r="R60" t="s">
        <v>30</v>
      </c>
      <c r="T60">
        <v>49135485</v>
      </c>
      <c r="U60">
        <v>86001139</v>
      </c>
      <c r="V60">
        <v>127310</v>
      </c>
    </row>
    <row r="61" spans="1:22" x14ac:dyDescent="0.2">
      <c r="A61">
        <v>324695220</v>
      </c>
      <c r="B61" t="s">
        <v>22</v>
      </c>
      <c r="C61" t="s">
        <v>23</v>
      </c>
      <c r="D61" t="s">
        <v>24</v>
      </c>
      <c r="E61" t="s">
        <v>25</v>
      </c>
      <c r="F61">
        <v>400</v>
      </c>
      <c r="G61" t="s">
        <v>26</v>
      </c>
      <c r="H61" s="1">
        <v>45721.711805555555</v>
      </c>
      <c r="I61" t="str">
        <f>"0737262"</f>
        <v>0737262</v>
      </c>
      <c r="J61">
        <v>2542</v>
      </c>
      <c r="K61" t="str">
        <f>"0528"</f>
        <v>0528</v>
      </c>
      <c r="L61">
        <v>1</v>
      </c>
      <c r="M61" t="s">
        <v>27</v>
      </c>
      <c r="N61" t="s">
        <v>28</v>
      </c>
      <c r="Q61" t="s">
        <v>29</v>
      </c>
      <c r="R61" t="s">
        <v>30</v>
      </c>
      <c r="T61">
        <v>49135685</v>
      </c>
      <c r="U61">
        <v>86001143</v>
      </c>
      <c r="V61">
        <v>127313</v>
      </c>
    </row>
    <row r="62" spans="1:22" x14ac:dyDescent="0.2">
      <c r="A62" t="str">
        <f>"023675739"</f>
        <v>023675739</v>
      </c>
      <c r="B62" t="s">
        <v>31</v>
      </c>
      <c r="F62">
        <v>150</v>
      </c>
      <c r="G62" t="s">
        <v>26</v>
      </c>
      <c r="H62" s="1">
        <v>45721.711805555555</v>
      </c>
      <c r="I62">
        <v>11367</v>
      </c>
      <c r="J62">
        <v>5155</v>
      </c>
      <c r="K62" t="str">
        <f>"0428"</f>
        <v>0428</v>
      </c>
      <c r="L62">
        <v>1</v>
      </c>
      <c r="M62" t="s">
        <v>27</v>
      </c>
      <c r="N62" t="s">
        <v>32</v>
      </c>
      <c r="Q62" t="s">
        <v>29</v>
      </c>
      <c r="R62" t="s">
        <v>30</v>
      </c>
      <c r="T62">
        <v>49135635</v>
      </c>
      <c r="U62">
        <v>86001142</v>
      </c>
      <c r="V62">
        <v>127312</v>
      </c>
    </row>
  </sheetData>
  <autoFilter ref="A1:V62">
    <sortState ref="A2:V62">
      <sortCondition ref="H1:H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2025-03-05T15:07:01Z</dcterms:created>
  <dcterms:modified xsi:type="dcterms:W3CDTF">2025-03-05T15:09:02Z</dcterms:modified>
</cp:coreProperties>
</file>