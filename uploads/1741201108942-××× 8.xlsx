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tshi_k\Desktop\"/>
    </mc:Choice>
  </mc:AlternateContent>
  <xr:revisionPtr revIDLastSave="0" documentId="13_ncr:40009_{F0A45CB6-9077-4CA2-AB55-38FA792D29A2}" xr6:coauthVersionLast="36" xr6:coauthVersionMax="36" xr10:uidLastSave="{00000000-0000-0000-0000-000000000000}"/>
  <bookViews>
    <workbookView xWindow="0" yWindow="0" windowWidth="28800" windowHeight="12255"/>
  </bookViews>
  <sheets>
    <sheet name="ExportHistory_01.03.25_05.03.25" sheetId="1" r:id="rId1"/>
  </sheets>
  <definedNames>
    <definedName name="_xlnm._FilterDatabase" localSheetId="0" hidden="1">ExportHistory_01.03.25_05.03.25!$A$1:$V$141</definedName>
  </definedNames>
  <calcPr calcId="0"/>
</workbook>
</file>

<file path=xl/calcChain.xml><?xml version="1.0" encoding="utf-8"?>
<calcChain xmlns="http://schemas.openxmlformats.org/spreadsheetml/2006/main">
  <c r="K141" i="1" l="1"/>
  <c r="I139" i="1"/>
  <c r="K139" i="1"/>
  <c r="K140" i="1"/>
  <c r="I138" i="1"/>
  <c r="K138" i="1"/>
  <c r="I135" i="1"/>
  <c r="K135" i="1"/>
  <c r="A136" i="1"/>
  <c r="I136" i="1"/>
  <c r="J136" i="1"/>
  <c r="K137" i="1"/>
  <c r="K134" i="1"/>
  <c r="I133" i="1"/>
  <c r="K133" i="1"/>
  <c r="A130" i="1"/>
  <c r="I130" i="1"/>
  <c r="K131" i="1"/>
  <c r="A132" i="1"/>
  <c r="K129" i="1"/>
  <c r="K127" i="1"/>
  <c r="A128" i="1"/>
  <c r="K128" i="1"/>
  <c r="I125" i="1"/>
  <c r="K125" i="1"/>
  <c r="J126" i="1"/>
  <c r="A122" i="1"/>
  <c r="J122" i="1"/>
  <c r="K122" i="1"/>
  <c r="I123" i="1"/>
  <c r="K123" i="1"/>
  <c r="K120" i="1"/>
  <c r="I121" i="1"/>
  <c r="K121" i="1"/>
  <c r="I115" i="1"/>
  <c r="A116" i="1"/>
  <c r="I116" i="1"/>
  <c r="K116" i="1"/>
  <c r="K117" i="1"/>
  <c r="I118" i="1"/>
  <c r="K118" i="1"/>
  <c r="K114" i="1"/>
  <c r="K113" i="1"/>
  <c r="J110" i="1"/>
  <c r="A109" i="1"/>
  <c r="K109" i="1"/>
  <c r="K107" i="1"/>
  <c r="I108" i="1"/>
  <c r="K106" i="1"/>
  <c r="K105" i="1"/>
  <c r="K102" i="1"/>
  <c r="I103" i="1"/>
  <c r="K104" i="1"/>
  <c r="A100" i="1"/>
  <c r="I100" i="1"/>
  <c r="K101" i="1"/>
  <c r="K97" i="1"/>
  <c r="K99" i="1"/>
  <c r="A95" i="1"/>
  <c r="I95" i="1"/>
  <c r="K95" i="1"/>
  <c r="I94" i="1"/>
  <c r="J94" i="1"/>
  <c r="K94" i="1"/>
  <c r="K91" i="1"/>
  <c r="K92" i="1"/>
  <c r="B93" i="1"/>
  <c r="K93" i="1"/>
  <c r="A90" i="1"/>
  <c r="K90" i="1"/>
  <c r="K89" i="1"/>
  <c r="A86" i="1"/>
  <c r="I86" i="1"/>
  <c r="J86" i="1"/>
  <c r="K86" i="1"/>
  <c r="K87" i="1"/>
  <c r="K84" i="1"/>
  <c r="I85" i="1"/>
  <c r="K85" i="1"/>
  <c r="K82" i="1"/>
  <c r="A83" i="1"/>
  <c r="K83" i="1"/>
  <c r="K81" i="1"/>
  <c r="I80" i="1"/>
  <c r="K80" i="1"/>
  <c r="K79" i="1"/>
  <c r="A74" i="1"/>
  <c r="I74" i="1"/>
  <c r="K74" i="1"/>
  <c r="A75" i="1"/>
  <c r="I75" i="1"/>
  <c r="I72" i="1"/>
  <c r="K72" i="1"/>
  <c r="I73" i="1"/>
  <c r="K73" i="1"/>
  <c r="K71" i="1"/>
  <c r="K69" i="1"/>
  <c r="I70" i="1"/>
  <c r="I66" i="1"/>
  <c r="J66" i="1"/>
  <c r="I67" i="1"/>
  <c r="K67" i="1"/>
  <c r="A65" i="1"/>
  <c r="I65" i="1"/>
  <c r="A64" i="1"/>
  <c r="I64" i="1"/>
  <c r="K64" i="1"/>
  <c r="K61" i="1"/>
  <c r="I62" i="1"/>
  <c r="J62" i="1"/>
  <c r="K62" i="1"/>
  <c r="A60" i="1"/>
  <c r="K60" i="1"/>
  <c r="K57" i="1"/>
  <c r="A58" i="1"/>
  <c r="I58" i="1"/>
  <c r="A56" i="1"/>
  <c r="I56" i="1"/>
  <c r="A54" i="1"/>
  <c r="A55" i="1"/>
  <c r="I55" i="1"/>
  <c r="A53" i="1"/>
  <c r="K53" i="1"/>
  <c r="K51" i="1"/>
  <c r="K52" i="1"/>
  <c r="K49" i="1"/>
  <c r="A50" i="1"/>
  <c r="K50" i="1"/>
  <c r="I48" i="1"/>
  <c r="K48" i="1"/>
  <c r="J47" i="1"/>
  <c r="K46" i="1"/>
  <c r="K45" i="1"/>
  <c r="A41" i="1"/>
  <c r="K41" i="1"/>
  <c r="I42" i="1"/>
  <c r="I44" i="1"/>
  <c r="K44" i="1"/>
  <c r="I40" i="1"/>
  <c r="K40" i="1"/>
  <c r="I38" i="1"/>
  <c r="K39" i="1"/>
  <c r="K37" i="1"/>
  <c r="I36" i="1"/>
  <c r="J36" i="1"/>
  <c r="K36" i="1"/>
  <c r="I34" i="1"/>
  <c r="K35" i="1"/>
  <c r="I33" i="1"/>
  <c r="J33" i="1"/>
  <c r="K26" i="1"/>
  <c r="I27" i="1"/>
  <c r="I28" i="1"/>
  <c r="K28" i="1"/>
  <c r="I29" i="1"/>
  <c r="K30" i="1"/>
  <c r="I31" i="1"/>
  <c r="K31" i="1"/>
  <c r="K32" i="1"/>
  <c r="I24" i="1"/>
  <c r="J24" i="1"/>
  <c r="K24" i="1"/>
  <c r="J25" i="1"/>
  <c r="K25" i="1"/>
  <c r="I21" i="1"/>
  <c r="K21" i="1"/>
  <c r="I22" i="1"/>
  <c r="K22" i="1"/>
  <c r="K23" i="1"/>
  <c r="A18" i="1"/>
  <c r="I19" i="1"/>
  <c r="K19" i="1"/>
  <c r="K20" i="1"/>
  <c r="A16" i="1"/>
  <c r="K17" i="1"/>
  <c r="I15" i="1"/>
  <c r="K15" i="1"/>
  <c r="K13" i="1"/>
  <c r="I14" i="1"/>
  <c r="K14" i="1"/>
  <c r="K9" i="1"/>
  <c r="I10" i="1"/>
  <c r="J10" i="1"/>
  <c r="K10" i="1"/>
  <c r="I8" i="1"/>
  <c r="I6" i="1"/>
  <c r="K6" i="1"/>
  <c r="A7" i="1"/>
  <c r="I7" i="1"/>
  <c r="K7" i="1"/>
  <c r="K5" i="1"/>
  <c r="I4" i="1"/>
  <c r="K2" i="1"/>
</calcChain>
</file>

<file path=xl/sharedStrings.xml><?xml version="1.0" encoding="utf-8"?>
<sst xmlns="http://schemas.openxmlformats.org/spreadsheetml/2006/main" count="1033" uniqueCount="424">
  <si>
    <t>מספר זהות</t>
  </si>
  <si>
    <t>שם</t>
  </si>
  <si>
    <t>כתובת</t>
  </si>
  <si>
    <t>טלפון</t>
  </si>
  <si>
    <t>מייל</t>
  </si>
  <si>
    <t>סכום</t>
  </si>
  <si>
    <t>מטבע</t>
  </si>
  <si>
    <t>תאריך עסקה</t>
  </si>
  <si>
    <t>מספר אישור</t>
  </si>
  <si>
    <t>4 ספרות אחרונות</t>
  </si>
  <si>
    <t>תוקף</t>
  </si>
  <si>
    <t>תשלומים</t>
  </si>
  <si>
    <t>קטגוריה</t>
  </si>
  <si>
    <t>הערות</t>
  </si>
  <si>
    <t>שם מסוף</t>
  </si>
  <si>
    <t>מספר מסוף</t>
  </si>
  <si>
    <t>מותג</t>
  </si>
  <si>
    <t>חברה סולקת</t>
  </si>
  <si>
    <t>מספר הו"ק</t>
  </si>
  <si>
    <t>מספר עסקה</t>
  </si>
  <si>
    <t>מספר שובר</t>
  </si>
  <si>
    <t>מספר קבלה</t>
  </si>
  <si>
    <t>דניאל ועדינה ברג</t>
  </si>
  <si>
    <t>db0527132784@gmail.com</t>
  </si>
  <si>
    <t>שקל</t>
  </si>
  <si>
    <t>קמפיין הכנסת כלה תשפ"ה</t>
  </si>
  <si>
    <t>רותי ברג</t>
  </si>
  <si>
    <t>ויזה</t>
  </si>
  <si>
    <t>ישראכרט</t>
  </si>
  <si>
    <t>רות חטאב</t>
  </si>
  <si>
    <t>מיכל שוורץ דירה 4</t>
  </si>
  <si>
    <t>Besnainou Andre Yves</t>
  </si>
  <si>
    <t>15 Kalanit Ra’nana</t>
  </si>
  <si>
    <t>054-2178624</t>
  </si>
  <si>
    <t>andre.yvesbesnainou@gmail.com</t>
  </si>
  <si>
    <t xml:space="preserve">Besnainou Yves André </t>
  </si>
  <si>
    <t>קינדי גרוס</t>
  </si>
  <si>
    <t>הדסה פעלד</t>
  </si>
  <si>
    <t>לפסון קרן</t>
  </si>
  <si>
    <t>רחל פייזר</t>
  </si>
  <si>
    <t>מרים צדוק</t>
  </si>
  <si>
    <t>חבקוק 10 בני ברק</t>
  </si>
  <si>
    <t>050-4166045</t>
  </si>
  <si>
    <t>zm6045</t>
  </si>
  <si>
    <t>יוסף חיים אליהו</t>
  </si>
  <si>
    <t>אורה פיינסילבר</t>
  </si>
  <si>
    <t>מסטרכרד</t>
  </si>
  <si>
    <t>מירי הלפרין</t>
  </si>
  <si>
    <t>אביגיל חוברה</t>
  </si>
  <si>
    <t>שמעונוביץ מרים</t>
  </si>
  <si>
    <t>רבקי גרשון</t>
  </si>
  <si>
    <t>אורלי גרשון</t>
  </si>
  <si>
    <t>רבקה גרשון</t>
  </si>
  <si>
    <t>גולדה חיה רביץ</t>
  </si>
  <si>
    <t>לבונטין 30 נתניה</t>
  </si>
  <si>
    <t>052-7101670</t>
  </si>
  <si>
    <t>goldy031802@gmail.com</t>
  </si>
  <si>
    <t>רחלי</t>
  </si>
  <si>
    <t>נחל הדר 28 הוד השרון</t>
  </si>
  <si>
    <t>054-5588857</t>
  </si>
  <si>
    <t>racheli@peletrd.com</t>
  </si>
  <si>
    <t>יהלי</t>
  </si>
  <si>
    <t>מנחם שטרייכער</t>
  </si>
  <si>
    <t>תהילה שטרייכער</t>
  </si>
  <si>
    <t>שירה גולדמן</t>
  </si>
  <si>
    <t>אלישבע צימרמן</t>
  </si>
  <si>
    <t>סין שלום שולמית</t>
  </si>
  <si>
    <t>דסי פעלד</t>
  </si>
  <si>
    <t xml:space="preserve">דבורה גילה גנסטיל </t>
  </si>
  <si>
    <t>נחל רביבים בית שמש</t>
  </si>
  <si>
    <t>053-3779840</t>
  </si>
  <si>
    <t>devoragila2006@gmail.com</t>
  </si>
  <si>
    <t>עבור נאוה זרנסט</t>
  </si>
  <si>
    <t>שירה אלמן</t>
  </si>
  <si>
    <t>בארות 1 גבעת זאב</t>
  </si>
  <si>
    <t>058-4122934</t>
  </si>
  <si>
    <t>shira4933@gmail.com</t>
  </si>
  <si>
    <t>ללי פלדמן</t>
  </si>
  <si>
    <t>פייזר יוסף מנשה</t>
  </si>
  <si>
    <t>עליית הנוער 3 דירה 18 עפולה</t>
  </si>
  <si>
    <t>054-8572683</t>
  </si>
  <si>
    <t>yosef5372266@gmail.com</t>
  </si>
  <si>
    <t>הו"ק</t>
  </si>
  <si>
    <t>100 ע"ש הדירה של מינא פייזר ו100 ע"ש הדירה של רחל פייזר</t>
  </si>
  <si>
    <t>בת שבע שרביט</t>
  </si>
  <si>
    <t>שילת שרביט</t>
  </si>
  <si>
    <t>שאושו יהודה אריה</t>
  </si>
  <si>
    <t>רחלי סבג</t>
  </si>
  <si>
    <t>לאה פלצקער</t>
  </si>
  <si>
    <t>פלד נחמה</t>
  </si>
  <si>
    <t>דסי פלד</t>
  </si>
  <si>
    <t>קרן אינהורן עליזה</t>
  </si>
  <si>
    <t>אריאל ר</t>
  </si>
  <si>
    <t>ariel@har.law</t>
  </si>
  <si>
    <t xml:space="preserve">לכבוד דבי ראוכברגר המהממת ! </t>
  </si>
  <si>
    <t>כותה אליהו</t>
  </si>
  <si>
    <t>תהילה כותה</t>
  </si>
  <si>
    <t xml:space="preserve">אברמס אליהו </t>
  </si>
  <si>
    <t xml:space="preserve">מח״ל 18  ירושלים </t>
  </si>
  <si>
    <t>058-6124555</t>
  </si>
  <si>
    <t>eliab5252@gmail.com</t>
  </si>
  <si>
    <t xml:space="preserve"> 07736Z</t>
  </si>
  <si>
    <t>תהילה שטרייכר</t>
  </si>
  <si>
    <t>לריסה פורסיק</t>
  </si>
  <si>
    <t>חנה לאה פורסיק</t>
  </si>
  <si>
    <t>Jeanette Weinschel</t>
  </si>
  <si>
    <t>13/2 Nachal Dolev Ramat Bet Shemesh</t>
  </si>
  <si>
    <t>054-8487439</t>
  </si>
  <si>
    <t>jeanetteweinschel@gmail.com</t>
  </si>
  <si>
    <t>תהילה אוחיון</t>
  </si>
  <si>
    <t>תמר אהרון</t>
  </si>
  <si>
    <t>איסטרין יחזקאל</t>
  </si>
  <si>
    <t>ארלוזרוב 25 חיפה</t>
  </si>
  <si>
    <t>052-7188541</t>
  </si>
  <si>
    <t>y10527688266@gmail.com</t>
  </si>
  <si>
    <t>עדינה באום</t>
  </si>
  <si>
    <t>אבישג בן דוד</t>
  </si>
  <si>
    <t>ישראל ביטון</t>
  </si>
  <si>
    <t>צאלון 53 אופקים</t>
  </si>
  <si>
    <t>052-7133245</t>
  </si>
  <si>
    <t>ib7133245@gmaij.com</t>
  </si>
  <si>
    <t>חניכי הישיבות נחלת יוסף</t>
  </si>
  <si>
    <t>רחל ג'יקובס</t>
  </si>
  <si>
    <t>אור החיים 6 ביתר עילית</t>
  </si>
  <si>
    <t>052-7695689</t>
  </si>
  <si>
    <t>jacobsr161@gmail.com</t>
  </si>
  <si>
    <t>חנה מרמלשטיין דירה 8</t>
  </si>
  <si>
    <t>אילה רביד</t>
  </si>
  <si>
    <t>אמריקן אקספרס</t>
  </si>
  <si>
    <t>באריה מרים פארן</t>
  </si>
  <si>
    <t>המדרשיה פרדס חנה</t>
  </si>
  <si>
    <t>058-3207631</t>
  </si>
  <si>
    <t>f5336913@gmail.com</t>
  </si>
  <si>
    <t>באריה</t>
  </si>
  <si>
    <t>העברה בקליק</t>
  </si>
  <si>
    <t>אביבה מודל</t>
  </si>
  <si>
    <t>Nachal Revivim 19 apt. 12 Beit Shemesh</t>
  </si>
  <si>
    <t>054-8426483</t>
  </si>
  <si>
    <t>avivamoddel@gmail.com</t>
  </si>
  <si>
    <t>מיכל גייקובס</t>
  </si>
  <si>
    <t xml:space="preserve">רפאל שפריצר </t>
  </si>
  <si>
    <t>1 תורה מיציון כוכב יעקב</t>
  </si>
  <si>
    <t>058-3501421</t>
  </si>
  <si>
    <t>raphael.spritzer@gmail.com</t>
  </si>
  <si>
    <t>משה בן דוד</t>
  </si>
  <si>
    <t>פיינהנדלר מרים</t>
  </si>
  <si>
    <t>דון יוסף נשיא 10/ג' בני ברק</t>
  </si>
  <si>
    <t>052-7110308</t>
  </si>
  <si>
    <t>m0527110308@gmail.com</t>
  </si>
  <si>
    <t>ללי הירש האלופה!</t>
  </si>
  <si>
    <t>אשואל טליה</t>
  </si>
  <si>
    <t>אביטל רשד</t>
  </si>
  <si>
    <t>וולפין צבי</t>
  </si>
  <si>
    <t>מסילת יוסף מודיעין עילית</t>
  </si>
  <si>
    <t>053-3168293</t>
  </si>
  <si>
    <t>9768293@gmail.com</t>
  </si>
  <si>
    <t>אסתי מן חדר 4 מחני וולפין</t>
  </si>
  <si>
    <t>שנקר הילה</t>
  </si>
  <si>
    <t>הברוש 5 גבעת זאב</t>
  </si>
  <si>
    <t>053-3155314</t>
  </si>
  <si>
    <t>hilashenkar47@gmail.com</t>
  </si>
  <si>
    <t>על שם יעלי דוכאן ורחל פייזר</t>
  </si>
  <si>
    <t>רבקי מיתא</t>
  </si>
  <si>
    <t>קניגסברג בנימין</t>
  </si>
  <si>
    <t>בן ציון רפאלי</t>
  </si>
  <si>
    <t>אביתר הכהן 3 ירושלים</t>
  </si>
  <si>
    <t>054-8470534</t>
  </si>
  <si>
    <t>b0548470534@gmail.com</t>
  </si>
  <si>
    <t>ברכה רפאלי</t>
  </si>
  <si>
    <t>יחזקאל רוזן</t>
  </si>
  <si>
    <t>yechezkelrozen@gmail.com</t>
  </si>
  <si>
    <t>אפרת זוננטל</t>
  </si>
  <si>
    <t>צ'רניאק</t>
  </si>
  <si>
    <t>יהודית ברוכי</t>
  </si>
  <si>
    <t>חני</t>
  </si>
  <si>
    <t>054-8475512</t>
  </si>
  <si>
    <t>artbychanis@gmail.com</t>
  </si>
  <si>
    <t>חדד יהודית</t>
  </si>
  <si>
    <t>אריאלה סימן</t>
  </si>
  <si>
    <t>שושנה שפירא</t>
  </si>
  <si>
    <t>077-5323322</t>
  </si>
  <si>
    <t>NedarimPhone</t>
  </si>
  <si>
    <t>סולימני ארז</t>
  </si>
  <si>
    <t>שרה סולימני</t>
  </si>
  <si>
    <t>יעל רייכנברג</t>
  </si>
  <si>
    <t>יהודית אפשטיין</t>
  </si>
  <si>
    <t>איצחקוב ליבקו</t>
  </si>
  <si>
    <t>שמעון בן שטח 19/22 אלעד</t>
  </si>
  <si>
    <t>052-7136761</t>
  </si>
  <si>
    <t>nicole@capitalgus.com</t>
  </si>
  <si>
    <t>דוד ברג</t>
  </si>
  <si>
    <t>גורדון 13 בני ברק</t>
  </si>
  <si>
    <t>053-3114741</t>
  </si>
  <si>
    <t>d0533114741@gmail.com</t>
  </si>
  <si>
    <t>על ידי רות ברג</t>
  </si>
  <si>
    <t>קובין אילה</t>
  </si>
  <si>
    <t>נועה איינשטיין</t>
  </si>
  <si>
    <t>קרשינסקי</t>
  </si>
  <si>
    <t>רשבם 5 בני ברק</t>
  </si>
  <si>
    <t>050-4190525</t>
  </si>
  <si>
    <t>נעמי רוט</t>
  </si>
  <si>
    <t>קון יהודה נחום</t>
  </si>
  <si>
    <t>סביון 21 כניסה א גבעת המורה עפולה</t>
  </si>
  <si>
    <t>052-7165821</t>
  </si>
  <si>
    <t>oriane.pell2001@gmail.com</t>
  </si>
  <si>
    <t>יעל דוכן</t>
  </si>
  <si>
    <t>וויל מלכי</t>
  </si>
  <si>
    <t>חייקי רוטשטיין</t>
  </si>
  <si>
    <t>אורי מאיר</t>
  </si>
  <si>
    <t>054-6861400</t>
  </si>
  <si>
    <t>oury234@gmail.com</t>
  </si>
  <si>
    <t>Eliana Abend</t>
  </si>
  <si>
    <t>נעה רווח</t>
  </si>
  <si>
    <t>שרה בלום</t>
  </si>
  <si>
    <t>אסתר אלפנט</t>
  </si>
  <si>
    <t>פלד משה ועליזה</t>
  </si>
  <si>
    <t>הריטבא 1 אלעד</t>
  </si>
  <si>
    <t>055-6788409</t>
  </si>
  <si>
    <t>a0533174179@gmail.com</t>
  </si>
  <si>
    <t>שרית פרל</t>
  </si>
  <si>
    <t>הבעל שם טוב 15 קרית יערים</t>
  </si>
  <si>
    <t>02-5336469</t>
  </si>
  <si>
    <t>srp53364@gmail.com</t>
  </si>
  <si>
    <t>גולדי פרל דירה 7   לגולדי היקרה , גאה בך! באהבה אמא</t>
  </si>
  <si>
    <t>כהן שמואל</t>
  </si>
  <si>
    <t>אורה עברון</t>
  </si>
  <si>
    <t>חנה אלפנט</t>
  </si>
  <si>
    <t>גלדווסר</t>
  </si>
  <si>
    <t>תמר סרויה</t>
  </si>
  <si>
    <t>מכירה סינית</t>
  </si>
  <si>
    <t>אברהם פרייפעלד</t>
  </si>
  <si>
    <t>רחל עהרמאן</t>
  </si>
  <si>
    <t>פינטו אסתר</t>
  </si>
  <si>
    <t>רבקה מנילוב</t>
  </si>
  <si>
    <t xml:space="preserve">זהבי </t>
  </si>
  <si>
    <t>בן איש חי 27 בית שמש</t>
  </si>
  <si>
    <t>055-6766472</t>
  </si>
  <si>
    <t>c0527651418@gmail.com</t>
  </si>
  <si>
    <t>סליחה שזה רק כזה סכום</t>
  </si>
  <si>
    <t>וויל שרה</t>
  </si>
  <si>
    <t xml:space="preserve">בורכוב 41 ירושלים </t>
  </si>
  <si>
    <t>064-9611679</t>
  </si>
  <si>
    <t>yochweill@yahoo.fr</t>
  </si>
  <si>
    <t xml:space="preserve">פירסט שירלי דירה 3 </t>
  </si>
  <si>
    <t>תהילה אלכסנדר</t>
  </si>
  <si>
    <t>37 חזון איש רכסים</t>
  </si>
  <si>
    <t>052-7145062</t>
  </si>
  <si>
    <t>tehila3279@gmail.com</t>
  </si>
  <si>
    <t>אלשבע צימרמן</t>
  </si>
  <si>
    <t>רפאלי ברכה</t>
  </si>
  <si>
    <t>1 מתוך 7</t>
  </si>
  <si>
    <t>אסתי מן דירה4</t>
  </si>
  <si>
    <t>אביגיל צימרמן</t>
  </si>
  <si>
    <t>מונסונגו</t>
  </si>
  <si>
    <t>מרים מונסונגו</t>
  </si>
  <si>
    <t>מלכה גילמן</t>
  </si>
  <si>
    <t>נחל רביבים 10 בית שמש</t>
  </si>
  <si>
    <t>053-3159646</t>
  </si>
  <si>
    <t>malkabgilman@gmail.com</t>
  </si>
  <si>
    <t>מרימי מונסונגו - דירה 10 מאמינה בך שתצליחי בהצלוחס!!!</t>
  </si>
  <si>
    <t>גוסלין יעבץ</t>
  </si>
  <si>
    <t>שרה סיטרוק</t>
  </si>
  <si>
    <t>דוד סדן</t>
  </si>
  <si>
    <t>תמר תמים</t>
  </si>
  <si>
    <t>דבורה זלקינד</t>
  </si>
  <si>
    <t xml:space="preserve">נחל רביבים 10 בית שמש </t>
  </si>
  <si>
    <t xml:space="preserve">   ציפורה טיסר - דירה 5 בהצלחה!!! </t>
  </si>
  <si>
    <t>שרייבר יחזקאל</t>
  </si>
  <si>
    <t>לח"י 35 אופקים</t>
  </si>
  <si>
    <t>052-7622142</t>
  </si>
  <si>
    <t>chezki29@gmail.com</t>
  </si>
  <si>
    <t>מתרימה רחל סבאג</t>
  </si>
  <si>
    <t>מתרימה יהלי</t>
  </si>
  <si>
    <t>שרה דינפי</t>
  </si>
  <si>
    <t>מתרימה שרה רחל</t>
  </si>
  <si>
    <t>שושי מרטין</t>
  </si>
  <si>
    <t>1 מתוך 2</t>
  </si>
  <si>
    <t>איילת מרטין</t>
  </si>
  <si>
    <t>רוני טורנר</t>
  </si>
  <si>
    <t>בתיה איסטרין</t>
  </si>
  <si>
    <t>Stein Nissim</t>
  </si>
  <si>
    <t>27/8 Rechov HaRav Pardess, Neve Yaakov Neve Yaakov, Jerusalem</t>
  </si>
  <si>
    <t>054-3160068</t>
  </si>
  <si>
    <t>nissostein@gmail.com</t>
  </si>
  <si>
    <t xml:space="preserve"> 07725G</t>
  </si>
  <si>
    <t>שרה רבקה נאכער</t>
  </si>
  <si>
    <t>ציונה לוי</t>
  </si>
  <si>
    <t xml:space="preserve">אברהם מילבסקי </t>
  </si>
  <si>
    <t>אופקים</t>
  </si>
  <si>
    <t xml:space="preserve">שרה לוי </t>
  </si>
  <si>
    <t>עדן שטר</t>
  </si>
  <si>
    <t>שלמה פרייפעלד</t>
  </si>
  <si>
    <t xml:space="preserve"> 06131Z</t>
  </si>
  <si>
    <t>דינה לאה דייויס</t>
  </si>
  <si>
    <t>הדר בוגנים</t>
  </si>
  <si>
    <t>רבקה חליבה</t>
  </si>
  <si>
    <t xml:space="preserve">משה ויזל </t>
  </si>
  <si>
    <t>רי"ש לקיש 18/15 05862864  בית שמש</t>
  </si>
  <si>
    <t>058-6283864</t>
  </si>
  <si>
    <t>avi.vizel58@gmail.com</t>
  </si>
  <si>
    <t>ע"ש אסתי ויזל</t>
  </si>
  <si>
    <t>הדס מיכל ברייער</t>
  </si>
  <si>
    <t>תדהר 12 רמת גן</t>
  </si>
  <si>
    <t>055-6766375</t>
  </si>
  <si>
    <t>hadasmichal2002@gmail.com</t>
  </si>
  <si>
    <t>הדר דהאן</t>
  </si>
  <si>
    <t>אביבה וגשל</t>
  </si>
  <si>
    <t>נחל אלכסנדר, 11/1 בית שמש</t>
  </si>
  <si>
    <t>054-9419468</t>
  </si>
  <si>
    <t>avivawagschal@gmail.com</t>
  </si>
  <si>
    <t xml:space="preserve"> 06950Q</t>
  </si>
  <si>
    <t>לכבוד בת ציון וגשל דירה 8</t>
  </si>
  <si>
    <t>אבא ואמא ילניק</t>
  </si>
  <si>
    <t>קריית ארבע בית שמש</t>
  </si>
  <si>
    <t>054-8402685</t>
  </si>
  <si>
    <t>ssyelenik@gmail.com</t>
  </si>
  <si>
    <t>הדסה ילניק</t>
  </si>
  <si>
    <t>שירה ילניק</t>
  </si>
  <si>
    <t>שמואל סיימון</t>
  </si>
  <si>
    <t>חגי הנביא בית שמש</t>
  </si>
  <si>
    <t>053-3121259</t>
  </si>
  <si>
    <t>s0533121259@gmail.com</t>
  </si>
  <si>
    <t>בתיה סיימון</t>
  </si>
  <si>
    <t>אביגיל אבוחצירא</t>
  </si>
  <si>
    <t xml:space="preserve">רוט אברהם </t>
  </si>
  <si>
    <t>rivki@traklin-group.com</t>
  </si>
  <si>
    <t>מטי יוליס</t>
  </si>
  <si>
    <t>משפחת קפלן</t>
  </si>
  <si>
    <t>אסתר מן</t>
  </si>
  <si>
    <t>ג'פרי וקארן טלר</t>
  </si>
  <si>
    <t>25/3 Kaf HaChaim Street ביתר עילית</t>
  </si>
  <si>
    <t>053-3144087</t>
  </si>
  <si>
    <t>thaleryk@gmail.com</t>
  </si>
  <si>
    <t>פעשי טלר</t>
  </si>
  <si>
    <t>נטע סעד</t>
  </si>
  <si>
    <t>יהודית טפורוביץ</t>
  </si>
  <si>
    <t>יעל דרעי</t>
  </si>
  <si>
    <t>אבישג בן דויד</t>
  </si>
  <si>
    <t>רבקה כהנא</t>
  </si>
  <si>
    <t>אגן האיילות 43 גבעת זאב</t>
  </si>
  <si>
    <t>058-3229743</t>
  </si>
  <si>
    <t>riky3229743@gmail.com</t>
  </si>
  <si>
    <t>אליעזר מאיר כהן</t>
  </si>
  <si>
    <t>שרי אייזנבך</t>
  </si>
  <si>
    <t>הר"ן 11 ביתר עילית</t>
  </si>
  <si>
    <t>058-3232497</t>
  </si>
  <si>
    <t>sarie2497@gmail.com</t>
  </si>
  <si>
    <t>דרך ברכי אייזנבך</t>
  </si>
  <si>
    <t>שפרה וייסר</t>
  </si>
  <si>
    <t>מלאכי הנביא בית שמש</t>
  </si>
  <si>
    <t>053-3199639</t>
  </si>
  <si>
    <t>shiffyelenik@gmail.com</t>
  </si>
  <si>
    <t>תמר ינאי</t>
  </si>
  <si>
    <t>סוקולוב 12 קרית אתא</t>
  </si>
  <si>
    <t>052-7114073</t>
  </si>
  <si>
    <t>tamar7114073@gmail.com</t>
  </si>
  <si>
    <t>עבור המתרימה תהילה אוחיון</t>
  </si>
  <si>
    <t>מאיר סנדלר</t>
  </si>
  <si>
    <t>פנינה אשכנזי</t>
  </si>
  <si>
    <t xml:space="preserve">אורה אהרון </t>
  </si>
  <si>
    <t xml:space="preserve">הרב שרירא גאון 6  ירושלים </t>
  </si>
  <si>
    <t>050-9363700</t>
  </si>
  <si>
    <t>orah@grifin.me</t>
  </si>
  <si>
    <t>יקירה לבנברון</t>
  </si>
  <si>
    <t>הרב בלוך 9 קרית יערים</t>
  </si>
  <si>
    <t>050-4170410</t>
  </si>
  <si>
    <t>yl0504170410@gmail.com</t>
  </si>
  <si>
    <t>מימי דרוק דירה 2</t>
  </si>
  <si>
    <t>ברכה בלומנטל</t>
  </si>
  <si>
    <t>המתרימה - מירי טברסקי</t>
  </si>
  <si>
    <t>אפרת ליבוביץ /אוירבך</t>
  </si>
  <si>
    <t>נעמי טל</t>
  </si>
  <si>
    <t>נחמה פלדר</t>
  </si>
  <si>
    <t>ביתר עילית</t>
  </si>
  <si>
    <t>שרה לוי</t>
  </si>
  <si>
    <t>שמחה רוטשטיין</t>
  </si>
  <si>
    <t>חיה רוטשטיין</t>
  </si>
  <si>
    <t>עבור המתרימה מטי יוליס</t>
  </si>
  <si>
    <t>הדסה אביסדה</t>
  </si>
  <si>
    <t>שפרה ילניק</t>
  </si>
  <si>
    <t>נעמה פרקוף</t>
  </si>
  <si>
    <t>שולמית לוי</t>
  </si>
  <si>
    <t>טובה רוטנבוים</t>
  </si>
  <si>
    <t>תמר פורת</t>
  </si>
  <si>
    <t xml:space="preserve">בוקסנבוים אריה </t>
  </si>
  <si>
    <t xml:space="preserve">קדושת לוי 100 בית״ר עילית </t>
  </si>
  <si>
    <t>054-7631282</t>
  </si>
  <si>
    <t>aryeboum2021@gmail.com</t>
  </si>
  <si>
    <t xml:space="preserve">נועה איינשטיין </t>
  </si>
  <si>
    <t>מירי עידי</t>
  </si>
  <si>
    <t>נורוק 23 בני ברק</t>
  </si>
  <si>
    <t>053-4164706</t>
  </si>
  <si>
    <t>r0548405307@gmail.com</t>
  </si>
  <si>
    <t>נעמי רוט האלופה!</t>
  </si>
  <si>
    <t>אסתי ברגשטיין</t>
  </si>
  <si>
    <t>הדס שמואל</t>
  </si>
  <si>
    <t>שירה חנה יוספי</t>
  </si>
  <si>
    <t>התמר 123 בית גמליאל</t>
  </si>
  <si>
    <t>055-6709094</t>
  </si>
  <si>
    <t>shirahanayosefi123@gmail.com</t>
  </si>
  <si>
    <t>ע"ש קרוילה שלי</t>
  </si>
  <si>
    <t xml:space="preserve">יואל ארמן </t>
  </si>
  <si>
    <t>יומולדת</t>
  </si>
  <si>
    <t>פנים מאירים 25/1 ביתר עילית</t>
  </si>
  <si>
    <t>058-4437792</t>
  </si>
  <si>
    <t>eti10035@gmail.com</t>
  </si>
  <si>
    <t>אפרת קריסטל</t>
  </si>
  <si>
    <t>efrat4416@gmail.com</t>
  </si>
  <si>
    <t>הודיה שלום</t>
  </si>
  <si>
    <t>יהודית רום</t>
  </si>
  <si>
    <t>ירושלים</t>
  </si>
  <si>
    <t>055-6776146</t>
  </si>
  <si>
    <t>jimeye0556776@gmail.com</t>
  </si>
  <si>
    <t>אסתי ויזל</t>
  </si>
  <si>
    <t>עלי דן כהן</t>
  </si>
  <si>
    <t>שטרן אברהם, 35 ירושלים</t>
  </si>
  <si>
    <t>054-2410951</t>
  </si>
  <si>
    <t>6448220@gmail.com</t>
  </si>
  <si>
    <t>ברוריה כהן. דירה 10.</t>
  </si>
  <si>
    <t>טיסר שרה</t>
  </si>
  <si>
    <t>נחל נחשון 3, 17 בית שמש</t>
  </si>
  <si>
    <t>058-3272858</t>
  </si>
  <si>
    <t>srtisser@gmail.com</t>
  </si>
  <si>
    <t>צפורה טיסר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</si>
</sst>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41"/>
  <sheetViews>
    <sheetView rightToLeft="1" tabSelected="1" topLeftCell="A91" workbookViewId="0">
      <selection activeCell="N9" sqref="N9"/>
    </sheetView>
  </sheetViews>
  <sheetFormatPr defaultRowHeight="14.25" x14ac:dyDescent="0.2"/>
  <cols>
    <col min="1" max="1" width="9.875" bestFit="1" customWidth="1"/>
    <col min="2" max="2" width="22.5" bestFit="1" customWidth="1"/>
    <col min="3" max="3" width="57.875" bestFit="1" customWidth="1"/>
    <col min="4" max="4" width="14" bestFit="1" customWidth="1"/>
    <col min="5" max="5" width="29" bestFit="1" customWidth="1"/>
    <col min="6" max="6" width="5.875" bestFit="1" customWidth="1"/>
    <col min="7" max="7" width="5.125" bestFit="1" customWidth="1"/>
    <col min="8" max="8" width="15" bestFit="1" customWidth="1"/>
    <col min="9" max="9" width="9.625" bestFit="1" customWidth="1"/>
    <col min="10" max="10" width="13.5" bestFit="1" customWidth="1"/>
    <col min="11" max="11" width="4.875" bestFit="1" customWidth="1"/>
    <col min="12" max="12" width="8.625" bestFit="1" customWidth="1"/>
    <col min="13" max="13" width="20" bestFit="1" customWidth="1"/>
    <col min="14" max="14" width="48.75" bestFit="1" customWidth="1"/>
    <col min="15" max="15" width="37" bestFit="1" customWidth="1"/>
    <col min="16" max="16" width="9.375" bestFit="1" customWidth="1"/>
    <col min="17" max="17" width="12.5" bestFit="1" customWidth="1"/>
    <col min="18" max="18" width="10.25" bestFit="1" customWidth="1"/>
    <col min="19" max="19" width="8.75" bestFit="1" customWidth="1"/>
    <col min="20" max="20" width="9.875" bestFit="1" customWidth="1"/>
    <col min="21" max="21" width="9.25" bestFit="1" customWidth="1"/>
    <col min="22" max="22" width="9.625" bestFit="1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>
        <v>345612915</v>
      </c>
      <c r="B2" t="s">
        <v>414</v>
      </c>
      <c r="C2" t="s">
        <v>415</v>
      </c>
      <c r="D2" t="s">
        <v>416</v>
      </c>
      <c r="E2" t="s">
        <v>417</v>
      </c>
      <c r="F2">
        <v>400</v>
      </c>
      <c r="G2" t="s">
        <v>24</v>
      </c>
      <c r="H2" s="1">
        <v>45721.799305555556</v>
      </c>
      <c r="I2">
        <v>1834887</v>
      </c>
      <c r="J2">
        <v>8184</v>
      </c>
      <c r="K2" t="str">
        <f>"0329"</f>
        <v>0329</v>
      </c>
      <c r="L2">
        <v>1</v>
      </c>
      <c r="M2" t="s">
        <v>25</v>
      </c>
      <c r="N2" t="s">
        <v>418</v>
      </c>
      <c r="Q2" t="s">
        <v>46</v>
      </c>
      <c r="R2" t="s">
        <v>28</v>
      </c>
      <c r="T2">
        <v>49140787</v>
      </c>
      <c r="U2">
        <v>86001227</v>
      </c>
      <c r="V2">
        <v>127400</v>
      </c>
    </row>
    <row r="3" spans="1:22" x14ac:dyDescent="0.2">
      <c r="A3">
        <v>325570539</v>
      </c>
      <c r="B3" t="s">
        <v>419</v>
      </c>
      <c r="C3" t="s">
        <v>420</v>
      </c>
      <c r="D3" t="s">
        <v>421</v>
      </c>
      <c r="E3" t="s">
        <v>422</v>
      </c>
      <c r="F3">
        <v>100</v>
      </c>
      <c r="G3" t="s">
        <v>24</v>
      </c>
      <c r="H3" s="1">
        <v>45721.799305555556</v>
      </c>
      <c r="I3">
        <v>1834568</v>
      </c>
      <c r="J3">
        <v>2199</v>
      </c>
      <c r="K3">
        <v>1129</v>
      </c>
      <c r="L3">
        <v>1</v>
      </c>
      <c r="M3" t="s">
        <v>25</v>
      </c>
      <c r="N3" t="s">
        <v>423</v>
      </c>
      <c r="Q3" t="s">
        <v>46</v>
      </c>
      <c r="R3" t="s">
        <v>28</v>
      </c>
      <c r="T3">
        <v>49140781</v>
      </c>
      <c r="U3">
        <v>86001226</v>
      </c>
      <c r="V3">
        <v>127399</v>
      </c>
    </row>
    <row r="4" spans="1:22" x14ac:dyDescent="0.2">
      <c r="A4">
        <v>326206901</v>
      </c>
      <c r="B4" t="s">
        <v>409</v>
      </c>
      <c r="C4" t="s">
        <v>410</v>
      </c>
      <c r="D4" t="s">
        <v>411</v>
      </c>
      <c r="E4" t="s">
        <v>412</v>
      </c>
      <c r="F4">
        <v>50</v>
      </c>
      <c r="G4" t="s">
        <v>24</v>
      </c>
      <c r="H4" s="1">
        <v>45721.8</v>
      </c>
      <c r="I4" t="str">
        <f>"0000000"</f>
        <v>0000000</v>
      </c>
      <c r="J4">
        <v>8467</v>
      </c>
      <c r="L4">
        <v>1</v>
      </c>
      <c r="M4" t="s">
        <v>25</v>
      </c>
      <c r="N4" t="s">
        <v>413</v>
      </c>
      <c r="Q4" t="s">
        <v>134</v>
      </c>
      <c r="R4">
        <v>30</v>
      </c>
      <c r="T4">
        <v>49140809</v>
      </c>
      <c r="V4">
        <v>127401</v>
      </c>
    </row>
    <row r="5" spans="1:22" x14ac:dyDescent="0.2">
      <c r="A5">
        <v>326593100</v>
      </c>
      <c r="B5" t="s">
        <v>406</v>
      </c>
      <c r="E5" t="s">
        <v>407</v>
      </c>
      <c r="F5">
        <v>270</v>
      </c>
      <c r="G5" t="s">
        <v>24</v>
      </c>
      <c r="H5" s="1">
        <v>45721.801388888889</v>
      </c>
      <c r="I5">
        <v>83272</v>
      </c>
      <c r="J5">
        <v>6741</v>
      </c>
      <c r="K5" t="str">
        <f>"0327"</f>
        <v>0327</v>
      </c>
      <c r="L5">
        <v>1</v>
      </c>
      <c r="M5" t="s">
        <v>25</v>
      </c>
      <c r="N5" t="s">
        <v>408</v>
      </c>
      <c r="Q5" t="s">
        <v>27</v>
      </c>
      <c r="R5" t="s">
        <v>28</v>
      </c>
      <c r="T5">
        <v>49140892</v>
      </c>
      <c r="U5">
        <v>86001228</v>
      </c>
      <c r="V5">
        <v>127402</v>
      </c>
    </row>
    <row r="6" spans="1:22" x14ac:dyDescent="0.2">
      <c r="B6" t="s">
        <v>401</v>
      </c>
      <c r="F6">
        <v>300</v>
      </c>
      <c r="G6" t="s">
        <v>24</v>
      </c>
      <c r="H6" s="1">
        <v>45721.802083333336</v>
      </c>
      <c r="I6" t="str">
        <f>"0594226"</f>
        <v>0594226</v>
      </c>
      <c r="J6">
        <v>8119</v>
      </c>
      <c r="K6" t="str">
        <f>"0227"</f>
        <v>0227</v>
      </c>
      <c r="L6">
        <v>1</v>
      </c>
      <c r="M6" t="s">
        <v>25</v>
      </c>
      <c r="Q6" t="s">
        <v>27</v>
      </c>
      <c r="R6" t="s">
        <v>28</v>
      </c>
      <c r="T6">
        <v>49140912</v>
      </c>
      <c r="U6">
        <v>86001230</v>
      </c>
      <c r="V6">
        <v>127404</v>
      </c>
    </row>
    <row r="7" spans="1:22" x14ac:dyDescent="0.2">
      <c r="A7" t="str">
        <f>"061264032"</f>
        <v>061264032</v>
      </c>
      <c r="B7" t="s">
        <v>402</v>
      </c>
      <c r="C7" t="s">
        <v>403</v>
      </c>
      <c r="D7" t="s">
        <v>404</v>
      </c>
      <c r="E7" t="s">
        <v>405</v>
      </c>
      <c r="F7">
        <v>300</v>
      </c>
      <c r="G7" t="s">
        <v>24</v>
      </c>
      <c r="H7" s="1">
        <v>45721.802083333336</v>
      </c>
      <c r="I7" t="str">
        <f>"0588111"</f>
        <v>0588111</v>
      </c>
      <c r="J7">
        <v>9850</v>
      </c>
      <c r="K7" t="str">
        <f>"0629"</f>
        <v>0629</v>
      </c>
      <c r="L7" t="s">
        <v>276</v>
      </c>
      <c r="M7" t="s">
        <v>25</v>
      </c>
      <c r="N7" t="s">
        <v>196</v>
      </c>
      <c r="Q7" t="s">
        <v>27</v>
      </c>
      <c r="R7" t="s">
        <v>28</v>
      </c>
      <c r="T7">
        <v>49140899</v>
      </c>
      <c r="U7">
        <v>86001229</v>
      </c>
      <c r="V7">
        <v>127403</v>
      </c>
    </row>
    <row r="8" spans="1:22" x14ac:dyDescent="0.2">
      <c r="A8">
        <v>213202542</v>
      </c>
      <c r="B8" t="s">
        <v>396</v>
      </c>
      <c r="C8" t="s">
        <v>397</v>
      </c>
      <c r="D8" t="s">
        <v>398</v>
      </c>
      <c r="E8" t="s">
        <v>399</v>
      </c>
      <c r="F8">
        <v>800</v>
      </c>
      <c r="G8" t="s">
        <v>24</v>
      </c>
      <c r="H8" s="1">
        <v>45721.804166666669</v>
      </c>
      <c r="I8" t="str">
        <f>"0675686"</f>
        <v>0675686</v>
      </c>
      <c r="J8">
        <v>5041</v>
      </c>
      <c r="K8">
        <v>1030</v>
      </c>
      <c r="L8">
        <v>1</v>
      </c>
      <c r="M8" t="s">
        <v>25</v>
      </c>
      <c r="N8" t="s">
        <v>400</v>
      </c>
      <c r="Q8" t="s">
        <v>27</v>
      </c>
      <c r="R8" t="s">
        <v>28</v>
      </c>
      <c r="T8">
        <v>49141018</v>
      </c>
      <c r="U8">
        <v>86001231</v>
      </c>
      <c r="V8">
        <v>127405</v>
      </c>
    </row>
    <row r="9" spans="1:22" x14ac:dyDescent="0.2">
      <c r="F9">
        <v>100</v>
      </c>
      <c r="G9" t="s">
        <v>24</v>
      </c>
      <c r="H9" s="1">
        <v>45721.804861111108</v>
      </c>
      <c r="I9">
        <v>1880724</v>
      </c>
      <c r="J9">
        <v>2374</v>
      </c>
      <c r="K9" t="str">
        <f>"0830"</f>
        <v>0830</v>
      </c>
      <c r="L9">
        <v>1</v>
      </c>
      <c r="M9" t="s">
        <v>25</v>
      </c>
      <c r="Q9" t="s">
        <v>46</v>
      </c>
      <c r="R9" t="s">
        <v>28</v>
      </c>
      <c r="T9">
        <v>49141045</v>
      </c>
      <c r="U9">
        <v>86001233</v>
      </c>
      <c r="V9">
        <v>127407</v>
      </c>
    </row>
    <row r="10" spans="1:22" x14ac:dyDescent="0.2">
      <c r="A10">
        <v>328180229</v>
      </c>
      <c r="B10" t="s">
        <v>394</v>
      </c>
      <c r="F10">
        <v>100</v>
      </c>
      <c r="G10" t="s">
        <v>24</v>
      </c>
      <c r="H10" s="1">
        <v>45721.804861111108</v>
      </c>
      <c r="I10" t="str">
        <f>"0693630"</f>
        <v>0693630</v>
      </c>
      <c r="J10" t="str">
        <f>"0189"</f>
        <v>0189</v>
      </c>
      <c r="K10" t="str">
        <f>"0231"</f>
        <v>0231</v>
      </c>
      <c r="L10">
        <v>1</v>
      </c>
      <c r="M10" t="s">
        <v>25</v>
      </c>
      <c r="N10" t="s">
        <v>395</v>
      </c>
      <c r="Q10" t="s">
        <v>27</v>
      </c>
      <c r="R10" t="s">
        <v>28</v>
      </c>
      <c r="T10">
        <v>49141040</v>
      </c>
      <c r="U10">
        <v>86001232</v>
      </c>
      <c r="V10">
        <v>127406</v>
      </c>
    </row>
    <row r="11" spans="1:22" x14ac:dyDescent="0.2">
      <c r="A11">
        <v>316317726</v>
      </c>
      <c r="B11" t="s">
        <v>384</v>
      </c>
      <c r="C11" t="s">
        <v>385</v>
      </c>
      <c r="D11" t="s">
        <v>386</v>
      </c>
      <c r="E11" t="s">
        <v>387</v>
      </c>
      <c r="F11">
        <v>50</v>
      </c>
      <c r="G11" t="s">
        <v>24</v>
      </c>
      <c r="H11" s="1">
        <v>45721.805555555555</v>
      </c>
      <c r="I11">
        <v>51623</v>
      </c>
      <c r="J11">
        <v>7528</v>
      </c>
      <c r="K11">
        <v>1028</v>
      </c>
      <c r="L11">
        <v>1</v>
      </c>
      <c r="M11" t="s">
        <v>25</v>
      </c>
      <c r="N11" t="s">
        <v>388</v>
      </c>
      <c r="Q11" t="s">
        <v>46</v>
      </c>
      <c r="R11" t="s">
        <v>28</v>
      </c>
      <c r="T11">
        <v>49141105</v>
      </c>
      <c r="U11">
        <v>86001235</v>
      </c>
      <c r="V11">
        <v>127409</v>
      </c>
    </row>
    <row r="12" spans="1:22" x14ac:dyDescent="0.2">
      <c r="A12">
        <v>330809260</v>
      </c>
      <c r="B12" t="s">
        <v>389</v>
      </c>
      <c r="C12" t="s">
        <v>390</v>
      </c>
      <c r="D12" t="s">
        <v>391</v>
      </c>
      <c r="E12" t="s">
        <v>392</v>
      </c>
      <c r="F12">
        <v>60</v>
      </c>
      <c r="G12" t="s">
        <v>24</v>
      </c>
      <c r="H12" s="1">
        <v>45721.805555555555</v>
      </c>
      <c r="I12">
        <v>1888709</v>
      </c>
      <c r="J12">
        <v>4843</v>
      </c>
      <c r="K12">
        <v>1230</v>
      </c>
      <c r="L12">
        <v>1</v>
      </c>
      <c r="M12" t="s">
        <v>25</v>
      </c>
      <c r="N12" t="s">
        <v>393</v>
      </c>
      <c r="Q12" t="s">
        <v>27</v>
      </c>
      <c r="R12" t="s">
        <v>28</v>
      </c>
      <c r="T12">
        <v>49141088</v>
      </c>
      <c r="U12">
        <v>86001234</v>
      </c>
      <c r="V12">
        <v>127408</v>
      </c>
    </row>
    <row r="13" spans="1:22" x14ac:dyDescent="0.2">
      <c r="A13">
        <v>214365801</v>
      </c>
      <c r="B13" t="s">
        <v>382</v>
      </c>
      <c r="F13">
        <v>180</v>
      </c>
      <c r="G13" t="s">
        <v>24</v>
      </c>
      <c r="H13" s="1">
        <v>45721.809027777781</v>
      </c>
      <c r="I13">
        <v>1921538</v>
      </c>
      <c r="J13">
        <v>2749</v>
      </c>
      <c r="K13" t="str">
        <f>"0129"</f>
        <v>0129</v>
      </c>
      <c r="L13">
        <v>1</v>
      </c>
      <c r="M13" t="s">
        <v>25</v>
      </c>
      <c r="N13" t="s">
        <v>110</v>
      </c>
      <c r="Q13" t="s">
        <v>46</v>
      </c>
      <c r="R13" t="s">
        <v>28</v>
      </c>
      <c r="T13">
        <v>49141274</v>
      </c>
      <c r="U13">
        <v>86001237</v>
      </c>
      <c r="V13">
        <v>127411</v>
      </c>
    </row>
    <row r="14" spans="1:22" x14ac:dyDescent="0.2">
      <c r="A14">
        <v>214939936</v>
      </c>
      <c r="B14" t="s">
        <v>383</v>
      </c>
      <c r="F14">
        <v>20</v>
      </c>
      <c r="G14" t="s">
        <v>24</v>
      </c>
      <c r="H14" s="1">
        <v>45721.809027777781</v>
      </c>
      <c r="I14" t="str">
        <f>"0879304"</f>
        <v>0879304</v>
      </c>
      <c r="J14">
        <v>3174</v>
      </c>
      <c r="K14" t="str">
        <f>"0729"</f>
        <v>0729</v>
      </c>
      <c r="L14">
        <v>1</v>
      </c>
      <c r="M14" t="s">
        <v>25</v>
      </c>
      <c r="N14" t="s">
        <v>376</v>
      </c>
      <c r="Q14" t="s">
        <v>27</v>
      </c>
      <c r="R14" t="s">
        <v>28</v>
      </c>
      <c r="T14">
        <v>49141270</v>
      </c>
      <c r="U14">
        <v>86001236</v>
      </c>
      <c r="V14">
        <v>127410</v>
      </c>
    </row>
    <row r="15" spans="1:22" x14ac:dyDescent="0.2">
      <c r="B15" t="s">
        <v>380</v>
      </c>
      <c r="F15">
        <v>50</v>
      </c>
      <c r="G15" t="s">
        <v>24</v>
      </c>
      <c r="H15" s="1">
        <v>45721.810416666667</v>
      </c>
      <c r="I15" t="str">
        <f>"0916213"</f>
        <v>0916213</v>
      </c>
      <c r="J15">
        <v>8277</v>
      </c>
      <c r="K15" t="str">
        <f>"0627"</f>
        <v>0627</v>
      </c>
      <c r="L15">
        <v>1</v>
      </c>
      <c r="M15" t="s">
        <v>25</v>
      </c>
      <c r="N15" t="s">
        <v>381</v>
      </c>
      <c r="Q15" t="s">
        <v>27</v>
      </c>
      <c r="R15" t="s">
        <v>28</v>
      </c>
      <c r="T15">
        <v>49141301</v>
      </c>
      <c r="U15">
        <v>86001238</v>
      </c>
      <c r="V15">
        <v>127412</v>
      </c>
    </row>
    <row r="16" spans="1:22" x14ac:dyDescent="0.2">
      <c r="A16" t="str">
        <f>"024126344"</f>
        <v>024126344</v>
      </c>
      <c r="B16" t="s">
        <v>378</v>
      </c>
      <c r="F16">
        <v>36</v>
      </c>
      <c r="G16" t="s">
        <v>24</v>
      </c>
      <c r="H16" s="1">
        <v>45721.811111111114</v>
      </c>
      <c r="I16">
        <v>1937768</v>
      </c>
      <c r="J16">
        <v>6899</v>
      </c>
      <c r="K16">
        <v>1026</v>
      </c>
      <c r="L16">
        <v>1</v>
      </c>
      <c r="M16" t="s">
        <v>25</v>
      </c>
      <c r="N16" t="s">
        <v>290</v>
      </c>
      <c r="Q16" t="s">
        <v>46</v>
      </c>
      <c r="R16" t="s">
        <v>28</v>
      </c>
      <c r="T16">
        <v>49141373</v>
      </c>
      <c r="U16">
        <v>86001240</v>
      </c>
      <c r="V16">
        <v>127414</v>
      </c>
    </row>
    <row r="17" spans="1:22" x14ac:dyDescent="0.2">
      <c r="A17">
        <v>328801428</v>
      </c>
      <c r="B17" t="s">
        <v>379</v>
      </c>
      <c r="C17" t="s">
        <v>349</v>
      </c>
      <c r="D17" t="s">
        <v>350</v>
      </c>
      <c r="E17" t="s">
        <v>351</v>
      </c>
      <c r="F17">
        <v>50</v>
      </c>
      <c r="G17" t="s">
        <v>24</v>
      </c>
      <c r="H17" s="1">
        <v>45721.811111111114</v>
      </c>
      <c r="I17">
        <v>1936981</v>
      </c>
      <c r="J17">
        <v>9872</v>
      </c>
      <c r="K17" t="str">
        <f>"0925"</f>
        <v>0925</v>
      </c>
      <c r="L17">
        <v>1</v>
      </c>
      <c r="M17" t="s">
        <v>25</v>
      </c>
      <c r="N17" t="s">
        <v>317</v>
      </c>
      <c r="Q17" t="s">
        <v>46</v>
      </c>
      <c r="R17" t="s">
        <v>28</v>
      </c>
      <c r="T17">
        <v>49141357</v>
      </c>
      <c r="U17">
        <v>86001239</v>
      </c>
      <c r="V17">
        <v>127413</v>
      </c>
    </row>
    <row r="18" spans="1:22" x14ac:dyDescent="0.2">
      <c r="A18" t="str">
        <f>"031336956"</f>
        <v>031336956</v>
      </c>
      <c r="B18" t="s">
        <v>375</v>
      </c>
      <c r="F18">
        <v>100</v>
      </c>
      <c r="G18" t="s">
        <v>24</v>
      </c>
      <c r="H18" s="1">
        <v>45721.811805555553</v>
      </c>
      <c r="I18">
        <v>1943745</v>
      </c>
      <c r="J18">
        <v>6432</v>
      </c>
      <c r="K18">
        <v>1229</v>
      </c>
      <c r="L18">
        <v>1</v>
      </c>
      <c r="M18" t="s">
        <v>25</v>
      </c>
      <c r="N18" t="s">
        <v>376</v>
      </c>
      <c r="Q18" t="s">
        <v>128</v>
      </c>
      <c r="R18" t="s">
        <v>28</v>
      </c>
      <c r="T18">
        <v>49141427</v>
      </c>
      <c r="U18">
        <v>86001243</v>
      </c>
      <c r="V18">
        <v>127417</v>
      </c>
    </row>
    <row r="19" spans="1:22" x14ac:dyDescent="0.2">
      <c r="A19">
        <v>327709739</v>
      </c>
      <c r="B19" t="s">
        <v>352</v>
      </c>
      <c r="C19" t="s">
        <v>353</v>
      </c>
      <c r="D19" t="s">
        <v>354</v>
      </c>
      <c r="E19" t="s">
        <v>355</v>
      </c>
      <c r="F19">
        <v>30</v>
      </c>
      <c r="G19" t="s">
        <v>24</v>
      </c>
      <c r="H19" s="1">
        <v>45721.811805555553</v>
      </c>
      <c r="I19" t="str">
        <f>"0976993"</f>
        <v>0976993</v>
      </c>
      <c r="J19">
        <v>8173</v>
      </c>
      <c r="K19" t="str">
        <f>"0829"</f>
        <v>0829</v>
      </c>
      <c r="L19">
        <v>1</v>
      </c>
      <c r="M19" t="s">
        <v>25</v>
      </c>
      <c r="N19" t="s">
        <v>377</v>
      </c>
      <c r="Q19" t="s">
        <v>27</v>
      </c>
      <c r="R19" t="s">
        <v>28</v>
      </c>
      <c r="T19">
        <v>49141420</v>
      </c>
      <c r="U19">
        <v>86001242</v>
      </c>
      <c r="V19">
        <v>127416</v>
      </c>
    </row>
    <row r="20" spans="1:22" x14ac:dyDescent="0.2">
      <c r="B20" t="s">
        <v>179</v>
      </c>
      <c r="F20">
        <v>100</v>
      </c>
      <c r="G20" t="s">
        <v>24</v>
      </c>
      <c r="H20" s="1">
        <v>45721.811805555553</v>
      </c>
      <c r="I20">
        <v>1941742</v>
      </c>
      <c r="J20">
        <v>3370</v>
      </c>
      <c r="K20" t="str">
        <f>"0930"</f>
        <v>0930</v>
      </c>
      <c r="L20">
        <v>1</v>
      </c>
      <c r="M20" t="s">
        <v>25</v>
      </c>
      <c r="N20" t="s">
        <v>179</v>
      </c>
      <c r="Q20" t="s">
        <v>27</v>
      </c>
      <c r="R20" t="s">
        <v>28</v>
      </c>
      <c r="T20">
        <v>49141414</v>
      </c>
      <c r="U20">
        <v>86001241</v>
      </c>
      <c r="V20">
        <v>127415</v>
      </c>
    </row>
    <row r="21" spans="1:22" x14ac:dyDescent="0.2">
      <c r="B21" t="s">
        <v>368</v>
      </c>
      <c r="F21">
        <v>26</v>
      </c>
      <c r="G21" t="s">
        <v>24</v>
      </c>
      <c r="H21" s="1">
        <v>45721.8125</v>
      </c>
      <c r="I21" t="str">
        <f>"0009381"</f>
        <v>0009381</v>
      </c>
      <c r="J21">
        <v>7963</v>
      </c>
      <c r="K21" t="str">
        <f>"0729"</f>
        <v>0729</v>
      </c>
      <c r="L21">
        <v>1</v>
      </c>
      <c r="M21" t="s">
        <v>25</v>
      </c>
      <c r="N21" t="s">
        <v>369</v>
      </c>
      <c r="Q21" t="s">
        <v>46</v>
      </c>
      <c r="R21" t="s">
        <v>28</v>
      </c>
      <c r="T21">
        <v>49141476</v>
      </c>
      <c r="U21">
        <v>86001246</v>
      </c>
      <c r="V21">
        <v>127420</v>
      </c>
    </row>
    <row r="22" spans="1:22" x14ac:dyDescent="0.2">
      <c r="B22" t="s">
        <v>370</v>
      </c>
      <c r="F22">
        <v>200</v>
      </c>
      <c r="G22" t="s">
        <v>24</v>
      </c>
      <c r="H22" s="1">
        <v>45721.8125</v>
      </c>
      <c r="I22" t="str">
        <f>"0998096"</f>
        <v>0998096</v>
      </c>
      <c r="J22">
        <v>2832</v>
      </c>
      <c r="K22" t="str">
        <f>"0430"</f>
        <v>0430</v>
      </c>
      <c r="L22">
        <v>1</v>
      </c>
      <c r="M22" t="s">
        <v>25</v>
      </c>
      <c r="N22" t="s">
        <v>371</v>
      </c>
      <c r="Q22" t="s">
        <v>27</v>
      </c>
      <c r="R22" t="s">
        <v>28</v>
      </c>
      <c r="T22">
        <v>49141459</v>
      </c>
      <c r="U22">
        <v>86001245</v>
      </c>
      <c r="V22">
        <v>127419</v>
      </c>
    </row>
    <row r="23" spans="1:22" x14ac:dyDescent="0.2">
      <c r="A23">
        <v>328814322</v>
      </c>
      <c r="B23" t="s">
        <v>372</v>
      </c>
      <c r="C23" t="s">
        <v>373</v>
      </c>
      <c r="F23">
        <v>18</v>
      </c>
      <c r="G23" t="s">
        <v>24</v>
      </c>
      <c r="H23" s="1">
        <v>45721.8125</v>
      </c>
      <c r="I23">
        <v>12169</v>
      </c>
      <c r="J23">
        <v>9248</v>
      </c>
      <c r="K23" t="str">
        <f>"0529"</f>
        <v>0529</v>
      </c>
      <c r="L23">
        <v>1</v>
      </c>
      <c r="M23" t="s">
        <v>25</v>
      </c>
      <c r="N23" t="s">
        <v>374</v>
      </c>
      <c r="Q23" t="s">
        <v>27</v>
      </c>
      <c r="R23" t="s">
        <v>28</v>
      </c>
      <c r="T23">
        <v>49141453</v>
      </c>
      <c r="U23">
        <v>86001244</v>
      </c>
      <c r="V23">
        <v>127418</v>
      </c>
    </row>
    <row r="24" spans="1:22" x14ac:dyDescent="0.2">
      <c r="A24">
        <v>212044200</v>
      </c>
      <c r="B24" t="s">
        <v>359</v>
      </c>
      <c r="C24" t="s">
        <v>360</v>
      </c>
      <c r="D24" t="s">
        <v>361</v>
      </c>
      <c r="E24" t="s">
        <v>362</v>
      </c>
      <c r="F24">
        <v>100</v>
      </c>
      <c r="G24" t="s">
        <v>24</v>
      </c>
      <c r="H24" s="1">
        <v>45721.813194444447</v>
      </c>
      <c r="I24" t="str">
        <f>"0041772"</f>
        <v>0041772</v>
      </c>
      <c r="J24" t="str">
        <f>"0892"</f>
        <v>0892</v>
      </c>
      <c r="K24" t="str">
        <f>"0728"</f>
        <v>0728</v>
      </c>
      <c r="L24">
        <v>1</v>
      </c>
      <c r="M24" t="s">
        <v>25</v>
      </c>
      <c r="N24" t="s">
        <v>110</v>
      </c>
      <c r="Q24" t="s">
        <v>27</v>
      </c>
      <c r="R24" t="s">
        <v>28</v>
      </c>
      <c r="T24">
        <v>49141521</v>
      </c>
      <c r="U24">
        <v>86001248</v>
      </c>
      <c r="V24">
        <v>127422</v>
      </c>
    </row>
    <row r="25" spans="1:22" x14ac:dyDescent="0.2">
      <c r="A25">
        <v>302210117</v>
      </c>
      <c r="B25" t="s">
        <v>363</v>
      </c>
      <c r="C25" t="s">
        <v>364</v>
      </c>
      <c r="D25" t="s">
        <v>365</v>
      </c>
      <c r="E25" t="s">
        <v>366</v>
      </c>
      <c r="F25">
        <v>50</v>
      </c>
      <c r="G25" t="s">
        <v>24</v>
      </c>
      <c r="H25" s="1">
        <v>45721.813194444447</v>
      </c>
      <c r="I25">
        <v>14383</v>
      </c>
      <c r="J25" t="str">
        <f>"0452"</f>
        <v>0452</v>
      </c>
      <c r="K25" t="str">
        <f>"0726"</f>
        <v>0726</v>
      </c>
      <c r="L25">
        <v>1</v>
      </c>
      <c r="M25" t="s">
        <v>25</v>
      </c>
      <c r="N25" t="s">
        <v>367</v>
      </c>
      <c r="Q25" t="s">
        <v>27</v>
      </c>
      <c r="R25" t="s">
        <v>28</v>
      </c>
      <c r="T25">
        <v>49141504</v>
      </c>
      <c r="U25">
        <v>86001247</v>
      </c>
      <c r="V25">
        <v>127421</v>
      </c>
    </row>
    <row r="26" spans="1:22" x14ac:dyDescent="0.2">
      <c r="B26" t="s">
        <v>336</v>
      </c>
      <c r="F26">
        <v>100</v>
      </c>
      <c r="G26" t="s">
        <v>24</v>
      </c>
      <c r="H26" s="1">
        <v>45721.813888888886</v>
      </c>
      <c r="I26">
        <v>17325</v>
      </c>
      <c r="J26">
        <v>9129</v>
      </c>
      <c r="K26" t="str">
        <f>"0529"</f>
        <v>0529</v>
      </c>
      <c r="L26" t="s">
        <v>276</v>
      </c>
      <c r="M26" t="s">
        <v>25</v>
      </c>
      <c r="N26" t="s">
        <v>337</v>
      </c>
      <c r="Q26" t="s">
        <v>27</v>
      </c>
      <c r="R26" t="s">
        <v>28</v>
      </c>
      <c r="T26">
        <v>49141557</v>
      </c>
      <c r="U26">
        <v>86001253</v>
      </c>
      <c r="V26">
        <v>127429</v>
      </c>
    </row>
    <row r="27" spans="1:22" x14ac:dyDescent="0.2">
      <c r="A27">
        <v>215111782</v>
      </c>
      <c r="B27" t="s">
        <v>338</v>
      </c>
      <c r="C27" t="s">
        <v>339</v>
      </c>
      <c r="D27" t="s">
        <v>340</v>
      </c>
      <c r="E27" t="s">
        <v>341</v>
      </c>
      <c r="F27">
        <v>100</v>
      </c>
      <c r="G27" t="s">
        <v>24</v>
      </c>
      <c r="H27" s="1">
        <v>45721.813888888886</v>
      </c>
      <c r="I27" t="str">
        <f>"0000000"</f>
        <v>0000000</v>
      </c>
      <c r="J27">
        <v>9448</v>
      </c>
      <c r="L27">
        <v>1</v>
      </c>
      <c r="M27" t="s">
        <v>25</v>
      </c>
      <c r="Q27" t="s">
        <v>134</v>
      </c>
      <c r="R27">
        <v>30</v>
      </c>
      <c r="T27">
        <v>49141551</v>
      </c>
      <c r="V27">
        <v>127428</v>
      </c>
    </row>
    <row r="28" spans="1:22" x14ac:dyDescent="0.2">
      <c r="A28">
        <v>323564922</v>
      </c>
      <c r="B28" t="s">
        <v>342</v>
      </c>
      <c r="F28">
        <v>200</v>
      </c>
      <c r="G28" t="s">
        <v>24</v>
      </c>
      <c r="H28" s="1">
        <v>45721.813888888886</v>
      </c>
      <c r="I28" t="str">
        <f>"0065318"</f>
        <v>0065318</v>
      </c>
      <c r="J28">
        <v>4859</v>
      </c>
      <c r="K28" t="str">
        <f>"0629"</f>
        <v>0629</v>
      </c>
      <c r="L28">
        <v>1</v>
      </c>
      <c r="M28" t="s">
        <v>25</v>
      </c>
      <c r="N28" t="s">
        <v>289</v>
      </c>
      <c r="Q28" t="s">
        <v>27</v>
      </c>
      <c r="R28" t="s">
        <v>28</v>
      </c>
      <c r="T28">
        <v>49141550</v>
      </c>
      <c r="U28">
        <v>86001252</v>
      </c>
      <c r="V28">
        <v>127427</v>
      </c>
    </row>
    <row r="29" spans="1:22" x14ac:dyDescent="0.2">
      <c r="A29">
        <v>325462901</v>
      </c>
      <c r="B29" t="s">
        <v>343</v>
      </c>
      <c r="C29" t="s">
        <v>344</v>
      </c>
      <c r="D29" t="s">
        <v>345</v>
      </c>
      <c r="E29" t="s">
        <v>346</v>
      </c>
      <c r="F29">
        <v>340</v>
      </c>
      <c r="G29" t="s">
        <v>24</v>
      </c>
      <c r="H29" s="1">
        <v>45721.813888888886</v>
      </c>
      <c r="I29" t="str">
        <f>"0000000"</f>
        <v>0000000</v>
      </c>
      <c r="J29">
        <v>4064</v>
      </c>
      <c r="L29">
        <v>1</v>
      </c>
      <c r="M29" t="s">
        <v>25</v>
      </c>
      <c r="N29" t="s">
        <v>347</v>
      </c>
      <c r="Q29" t="s">
        <v>134</v>
      </c>
      <c r="R29">
        <v>30</v>
      </c>
      <c r="T29">
        <v>49141547</v>
      </c>
      <c r="V29">
        <v>127426</v>
      </c>
    </row>
    <row r="30" spans="1:22" x14ac:dyDescent="0.2">
      <c r="A30">
        <v>328801428</v>
      </c>
      <c r="B30" t="s">
        <v>348</v>
      </c>
      <c r="C30" t="s">
        <v>349</v>
      </c>
      <c r="D30" t="s">
        <v>350</v>
      </c>
      <c r="E30" t="s">
        <v>351</v>
      </c>
      <c r="F30">
        <v>49</v>
      </c>
      <c r="G30" t="s">
        <v>24</v>
      </c>
      <c r="H30" s="1">
        <v>45721.813888888886</v>
      </c>
      <c r="I30">
        <v>1961033</v>
      </c>
      <c r="J30">
        <v>9872</v>
      </c>
      <c r="K30" t="str">
        <f>"0925"</f>
        <v>0925</v>
      </c>
      <c r="L30">
        <v>1</v>
      </c>
      <c r="M30" t="s">
        <v>25</v>
      </c>
      <c r="N30" t="s">
        <v>316</v>
      </c>
      <c r="Q30" t="s">
        <v>46</v>
      </c>
      <c r="R30" t="s">
        <v>28</v>
      </c>
      <c r="T30">
        <v>49141539</v>
      </c>
      <c r="U30">
        <v>86001251</v>
      </c>
      <c r="V30">
        <v>127425</v>
      </c>
    </row>
    <row r="31" spans="1:22" x14ac:dyDescent="0.2">
      <c r="A31">
        <v>327709739</v>
      </c>
      <c r="B31" t="s">
        <v>352</v>
      </c>
      <c r="C31" t="s">
        <v>353</v>
      </c>
      <c r="D31" t="s">
        <v>354</v>
      </c>
      <c r="E31" t="s">
        <v>355</v>
      </c>
      <c r="F31">
        <v>31</v>
      </c>
      <c r="G31" t="s">
        <v>24</v>
      </c>
      <c r="H31" s="1">
        <v>45721.813888888886</v>
      </c>
      <c r="I31" t="str">
        <f>"0054809"</f>
        <v>0054809</v>
      </c>
      <c r="J31">
        <v>8173</v>
      </c>
      <c r="K31" t="str">
        <f>"0829"</f>
        <v>0829</v>
      </c>
      <c r="L31">
        <v>1</v>
      </c>
      <c r="M31" t="s">
        <v>25</v>
      </c>
      <c r="N31" t="s">
        <v>356</v>
      </c>
      <c r="Q31" t="s">
        <v>27</v>
      </c>
      <c r="R31" t="s">
        <v>28</v>
      </c>
      <c r="T31">
        <v>49141533</v>
      </c>
      <c r="U31">
        <v>86001250</v>
      </c>
      <c r="V31">
        <v>127424</v>
      </c>
    </row>
    <row r="32" spans="1:22" x14ac:dyDescent="0.2">
      <c r="A32">
        <v>206780330</v>
      </c>
      <c r="B32" t="s">
        <v>357</v>
      </c>
      <c r="F32">
        <v>100</v>
      </c>
      <c r="G32" t="s">
        <v>24</v>
      </c>
      <c r="H32" s="1">
        <v>45721.813888888886</v>
      </c>
      <c r="I32">
        <v>15866</v>
      </c>
      <c r="J32">
        <v>3583</v>
      </c>
      <c r="K32" t="str">
        <f>"0427"</f>
        <v>0427</v>
      </c>
      <c r="L32">
        <v>1</v>
      </c>
      <c r="M32" t="s">
        <v>25</v>
      </c>
      <c r="N32" t="s">
        <v>358</v>
      </c>
      <c r="Q32" t="s">
        <v>27</v>
      </c>
      <c r="R32" t="s">
        <v>28</v>
      </c>
      <c r="T32">
        <v>49141529</v>
      </c>
      <c r="U32">
        <v>86001249</v>
      </c>
      <c r="V32">
        <v>127423</v>
      </c>
    </row>
    <row r="33" spans="1:22" x14ac:dyDescent="0.2">
      <c r="A33">
        <v>330787953</v>
      </c>
      <c r="B33" t="s">
        <v>335</v>
      </c>
      <c r="F33">
        <v>100</v>
      </c>
      <c r="G33" t="s">
        <v>24</v>
      </c>
      <c r="H33" s="1">
        <v>45721.814583333333</v>
      </c>
      <c r="I33" t="str">
        <f>"0081778"</f>
        <v>0081778</v>
      </c>
      <c r="J33" t="str">
        <f>"0153"</f>
        <v>0153</v>
      </c>
      <c r="K33">
        <v>1130</v>
      </c>
      <c r="L33">
        <v>1</v>
      </c>
      <c r="M33" t="s">
        <v>25</v>
      </c>
      <c r="N33" t="s">
        <v>63</v>
      </c>
      <c r="Q33" t="s">
        <v>27</v>
      </c>
      <c r="R33" t="s">
        <v>28</v>
      </c>
      <c r="T33">
        <v>49141573</v>
      </c>
      <c r="U33">
        <v>86001254</v>
      </c>
      <c r="V33">
        <v>127430</v>
      </c>
    </row>
    <row r="34" spans="1:22" x14ac:dyDescent="0.2">
      <c r="A34">
        <v>317739472</v>
      </c>
      <c r="B34" t="s">
        <v>329</v>
      </c>
      <c r="C34" t="s">
        <v>330</v>
      </c>
      <c r="D34" t="s">
        <v>331</v>
      </c>
      <c r="E34" t="s">
        <v>332</v>
      </c>
      <c r="F34">
        <v>500</v>
      </c>
      <c r="G34" t="s">
        <v>24</v>
      </c>
      <c r="H34" s="1">
        <v>45721.81527777778</v>
      </c>
      <c r="I34" t="str">
        <f>"0123760"</f>
        <v>0123760</v>
      </c>
      <c r="J34">
        <v>6047</v>
      </c>
      <c r="K34">
        <v>1127</v>
      </c>
      <c r="L34">
        <v>1</v>
      </c>
      <c r="M34" t="s">
        <v>25</v>
      </c>
      <c r="N34" t="s">
        <v>333</v>
      </c>
      <c r="Q34" t="s">
        <v>27</v>
      </c>
      <c r="R34" t="s">
        <v>28</v>
      </c>
      <c r="T34">
        <v>49141657</v>
      </c>
      <c r="U34">
        <v>86001256</v>
      </c>
      <c r="V34">
        <v>127432</v>
      </c>
    </row>
    <row r="35" spans="1:22" x14ac:dyDescent="0.2">
      <c r="A35">
        <v>326280930</v>
      </c>
      <c r="B35" t="s">
        <v>334</v>
      </c>
      <c r="F35">
        <v>100</v>
      </c>
      <c r="G35" t="s">
        <v>24</v>
      </c>
      <c r="H35" s="1">
        <v>45721.81527777778</v>
      </c>
      <c r="I35">
        <v>19992</v>
      </c>
      <c r="J35">
        <v>9649</v>
      </c>
      <c r="K35" t="str">
        <f>"0326"</f>
        <v>0326</v>
      </c>
      <c r="L35">
        <v>1</v>
      </c>
      <c r="M35" t="s">
        <v>25</v>
      </c>
      <c r="N35" t="s">
        <v>290</v>
      </c>
      <c r="Q35" t="s">
        <v>27</v>
      </c>
      <c r="R35" t="s">
        <v>28</v>
      </c>
      <c r="T35">
        <v>49141634</v>
      </c>
      <c r="U35">
        <v>86001255</v>
      </c>
      <c r="V35">
        <v>127431</v>
      </c>
    </row>
    <row r="36" spans="1:22" x14ac:dyDescent="0.2">
      <c r="A36">
        <v>311201370</v>
      </c>
      <c r="B36" t="s">
        <v>327</v>
      </c>
      <c r="F36">
        <v>20</v>
      </c>
      <c r="G36" t="s">
        <v>24</v>
      </c>
      <c r="H36" s="1">
        <v>45721.816666666666</v>
      </c>
      <c r="I36" t="str">
        <f>"0160085"</f>
        <v>0160085</v>
      </c>
      <c r="J36" t="str">
        <f>"0797"</f>
        <v>0797</v>
      </c>
      <c r="K36" t="str">
        <f>"0226"</f>
        <v>0226</v>
      </c>
      <c r="L36">
        <v>1</v>
      </c>
      <c r="M36" t="s">
        <v>25</v>
      </c>
      <c r="N36" t="s">
        <v>328</v>
      </c>
      <c r="Q36" t="s">
        <v>27</v>
      </c>
      <c r="R36" t="s">
        <v>28</v>
      </c>
      <c r="T36">
        <v>49141715</v>
      </c>
      <c r="U36">
        <v>86001257</v>
      </c>
      <c r="V36">
        <v>127433</v>
      </c>
    </row>
    <row r="37" spans="1:22" x14ac:dyDescent="0.2">
      <c r="B37" t="s">
        <v>324</v>
      </c>
      <c r="E37" t="s">
        <v>325</v>
      </c>
      <c r="F37">
        <v>50</v>
      </c>
      <c r="G37" t="s">
        <v>24</v>
      </c>
      <c r="H37" s="1">
        <v>45721.817361111112</v>
      </c>
      <c r="I37">
        <v>1987760</v>
      </c>
      <c r="J37">
        <v>9147</v>
      </c>
      <c r="K37" t="str">
        <f>"0131"</f>
        <v>0131</v>
      </c>
      <c r="L37">
        <v>1</v>
      </c>
      <c r="M37" t="s">
        <v>25</v>
      </c>
      <c r="N37" t="s">
        <v>326</v>
      </c>
      <c r="Q37" t="s">
        <v>46</v>
      </c>
      <c r="R37" t="s">
        <v>28</v>
      </c>
      <c r="T37">
        <v>49141734</v>
      </c>
      <c r="U37">
        <v>86001258</v>
      </c>
      <c r="V37">
        <v>127434</v>
      </c>
    </row>
    <row r="38" spans="1:22" x14ac:dyDescent="0.2">
      <c r="A38">
        <v>315607986</v>
      </c>
      <c r="B38" t="s">
        <v>318</v>
      </c>
      <c r="C38" t="s">
        <v>319</v>
      </c>
      <c r="D38" t="s">
        <v>320</v>
      </c>
      <c r="E38" t="s">
        <v>321</v>
      </c>
      <c r="F38">
        <v>50</v>
      </c>
      <c r="G38" t="s">
        <v>24</v>
      </c>
      <c r="H38" s="1">
        <v>45721.818055555559</v>
      </c>
      <c r="I38" t="str">
        <f>"0228577"</f>
        <v>0228577</v>
      </c>
      <c r="J38">
        <v>6124</v>
      </c>
      <c r="K38">
        <v>1027</v>
      </c>
      <c r="L38">
        <v>1</v>
      </c>
      <c r="M38" t="s">
        <v>25</v>
      </c>
      <c r="N38" t="s">
        <v>322</v>
      </c>
      <c r="Q38" t="s">
        <v>27</v>
      </c>
      <c r="R38" t="s">
        <v>28</v>
      </c>
      <c r="T38">
        <v>49141793</v>
      </c>
      <c r="U38">
        <v>86001260</v>
      </c>
      <c r="V38">
        <v>127436</v>
      </c>
    </row>
    <row r="39" spans="1:22" x14ac:dyDescent="0.2">
      <c r="A39">
        <v>330904624</v>
      </c>
      <c r="B39" t="s">
        <v>323</v>
      </c>
      <c r="F39">
        <v>100</v>
      </c>
      <c r="G39" t="s">
        <v>24</v>
      </c>
      <c r="H39" s="1">
        <v>45721.818055555559</v>
      </c>
      <c r="I39">
        <v>248033</v>
      </c>
      <c r="J39">
        <v>7646</v>
      </c>
      <c r="K39" t="str">
        <f>"0827"</f>
        <v>0827</v>
      </c>
      <c r="L39">
        <v>1</v>
      </c>
      <c r="M39" t="s">
        <v>25</v>
      </c>
      <c r="N39" t="s">
        <v>323</v>
      </c>
      <c r="Q39" t="s">
        <v>27</v>
      </c>
      <c r="R39" t="s">
        <v>28</v>
      </c>
      <c r="T39">
        <v>49141788</v>
      </c>
      <c r="U39">
        <v>86001259</v>
      </c>
      <c r="V39">
        <v>127435</v>
      </c>
    </row>
    <row r="40" spans="1:22" x14ac:dyDescent="0.2">
      <c r="A40">
        <v>200090710</v>
      </c>
      <c r="B40" t="s">
        <v>312</v>
      </c>
      <c r="C40" t="s">
        <v>313</v>
      </c>
      <c r="D40" t="s">
        <v>314</v>
      </c>
      <c r="E40" t="s">
        <v>315</v>
      </c>
      <c r="F40">
        <v>305</v>
      </c>
      <c r="G40" t="s">
        <v>24</v>
      </c>
      <c r="H40" s="1">
        <v>45721.818749999999</v>
      </c>
      <c r="I40" t="str">
        <f>"0238519"</f>
        <v>0238519</v>
      </c>
      <c r="J40">
        <v>2234</v>
      </c>
      <c r="K40" t="str">
        <f>"0629"</f>
        <v>0629</v>
      </c>
      <c r="L40">
        <v>1</v>
      </c>
      <c r="M40" t="s">
        <v>25</v>
      </c>
      <c r="N40" t="s">
        <v>317</v>
      </c>
      <c r="Q40" t="s">
        <v>27</v>
      </c>
      <c r="R40" t="s">
        <v>28</v>
      </c>
      <c r="T40">
        <v>49141813</v>
      </c>
      <c r="U40">
        <v>86001261</v>
      </c>
      <c r="V40">
        <v>127437</v>
      </c>
    </row>
    <row r="41" spans="1:22" x14ac:dyDescent="0.2">
      <c r="A41" t="str">
        <f>"014358139"</f>
        <v>014358139</v>
      </c>
      <c r="B41" t="s">
        <v>296</v>
      </c>
      <c r="C41" t="s">
        <v>297</v>
      </c>
      <c r="D41" t="s">
        <v>298</v>
      </c>
      <c r="E41" t="s">
        <v>299</v>
      </c>
      <c r="F41">
        <v>200</v>
      </c>
      <c r="G41" t="s">
        <v>24</v>
      </c>
      <c r="H41" s="1">
        <v>45721.820833333331</v>
      </c>
      <c r="I41">
        <v>2019863</v>
      </c>
      <c r="J41">
        <v>4377</v>
      </c>
      <c r="K41" t="str">
        <f>"0430"</f>
        <v>0430</v>
      </c>
      <c r="L41" t="s">
        <v>82</v>
      </c>
      <c r="M41" t="s">
        <v>25</v>
      </c>
      <c r="N41" t="s">
        <v>300</v>
      </c>
      <c r="Q41" t="s">
        <v>27</v>
      </c>
      <c r="R41" t="s">
        <v>28</v>
      </c>
      <c r="S41">
        <v>1672383</v>
      </c>
      <c r="T41">
        <v>49141938</v>
      </c>
      <c r="U41">
        <v>86001264</v>
      </c>
    </row>
    <row r="42" spans="1:22" x14ac:dyDescent="0.2">
      <c r="A42">
        <v>213376122</v>
      </c>
      <c r="B42" t="s">
        <v>301</v>
      </c>
      <c r="C42" t="s">
        <v>302</v>
      </c>
      <c r="D42" t="s">
        <v>303</v>
      </c>
      <c r="E42" t="s">
        <v>304</v>
      </c>
      <c r="F42">
        <v>100</v>
      </c>
      <c r="G42" t="s">
        <v>24</v>
      </c>
      <c r="H42" s="1">
        <v>45721.820833333331</v>
      </c>
      <c r="I42" t="str">
        <f>"0000000"</f>
        <v>0000000</v>
      </c>
      <c r="J42">
        <v>7409</v>
      </c>
      <c r="L42">
        <v>1</v>
      </c>
      <c r="M42" t="s">
        <v>25</v>
      </c>
      <c r="N42" t="s">
        <v>305</v>
      </c>
      <c r="Q42" t="s">
        <v>134</v>
      </c>
      <c r="R42">
        <v>30</v>
      </c>
      <c r="T42">
        <v>49141923</v>
      </c>
      <c r="V42">
        <v>127440</v>
      </c>
    </row>
    <row r="43" spans="1:22" x14ac:dyDescent="0.2">
      <c r="A43">
        <v>332394642</v>
      </c>
      <c r="B43" t="s">
        <v>306</v>
      </c>
      <c r="C43" t="s">
        <v>307</v>
      </c>
      <c r="D43" t="s">
        <v>308</v>
      </c>
      <c r="E43" t="s">
        <v>309</v>
      </c>
      <c r="F43">
        <v>45</v>
      </c>
      <c r="G43" t="s">
        <v>24</v>
      </c>
      <c r="H43" s="1">
        <v>45721.820833333331</v>
      </c>
      <c r="I43" t="s">
        <v>310</v>
      </c>
      <c r="J43">
        <v>8234</v>
      </c>
      <c r="K43">
        <v>1227</v>
      </c>
      <c r="L43">
        <v>1</v>
      </c>
      <c r="M43" t="s">
        <v>25</v>
      </c>
      <c r="N43" t="s">
        <v>311</v>
      </c>
      <c r="Q43" t="s">
        <v>46</v>
      </c>
      <c r="R43" t="s">
        <v>28</v>
      </c>
      <c r="T43">
        <v>49141915</v>
      </c>
      <c r="U43">
        <v>86001263</v>
      </c>
      <c r="V43">
        <v>127439</v>
      </c>
    </row>
    <row r="44" spans="1:22" x14ac:dyDescent="0.2">
      <c r="A44">
        <v>200090710</v>
      </c>
      <c r="B44" t="s">
        <v>312</v>
      </c>
      <c r="C44" t="s">
        <v>313</v>
      </c>
      <c r="D44" t="s">
        <v>314</v>
      </c>
      <c r="E44" t="s">
        <v>315</v>
      </c>
      <c r="F44">
        <v>306</v>
      </c>
      <c r="G44" t="s">
        <v>24</v>
      </c>
      <c r="H44" s="1">
        <v>45721.820833333331</v>
      </c>
      <c r="I44" t="str">
        <f>"0313783"</f>
        <v>0313783</v>
      </c>
      <c r="J44">
        <v>2234</v>
      </c>
      <c r="K44" t="str">
        <f>"0629"</f>
        <v>0629</v>
      </c>
      <c r="L44">
        <v>1</v>
      </c>
      <c r="M44" t="s">
        <v>25</v>
      </c>
      <c r="N44" t="s">
        <v>316</v>
      </c>
      <c r="Q44" t="s">
        <v>27</v>
      </c>
      <c r="R44" t="s">
        <v>28</v>
      </c>
      <c r="T44">
        <v>49141901</v>
      </c>
      <c r="U44">
        <v>86001262</v>
      </c>
      <c r="V44">
        <v>127438</v>
      </c>
    </row>
    <row r="45" spans="1:22" x14ac:dyDescent="0.2">
      <c r="A45">
        <v>325745073</v>
      </c>
      <c r="B45" t="s">
        <v>294</v>
      </c>
      <c r="F45">
        <v>320</v>
      </c>
      <c r="G45" t="s">
        <v>24</v>
      </c>
      <c r="H45" s="1">
        <v>45721.821527777778</v>
      </c>
      <c r="I45">
        <v>2026733</v>
      </c>
      <c r="J45">
        <v>4958</v>
      </c>
      <c r="K45" t="str">
        <f>"0629"</f>
        <v>0629</v>
      </c>
      <c r="L45">
        <v>1</v>
      </c>
      <c r="M45" t="s">
        <v>25</v>
      </c>
      <c r="N45" t="s">
        <v>295</v>
      </c>
      <c r="Q45" t="s">
        <v>46</v>
      </c>
      <c r="R45" t="s">
        <v>28</v>
      </c>
      <c r="T45">
        <v>49142009</v>
      </c>
      <c r="U45">
        <v>86001265</v>
      </c>
      <c r="V45">
        <v>127441</v>
      </c>
    </row>
    <row r="46" spans="1:22" x14ac:dyDescent="0.2">
      <c r="A46">
        <v>348044850</v>
      </c>
      <c r="B46" t="s">
        <v>293</v>
      </c>
      <c r="F46">
        <v>200</v>
      </c>
      <c r="G46" t="s">
        <v>24</v>
      </c>
      <c r="H46" s="1">
        <v>45721.822222222225</v>
      </c>
      <c r="I46">
        <v>38304</v>
      </c>
      <c r="J46">
        <v>1644</v>
      </c>
      <c r="K46" t="str">
        <f>"0228"</f>
        <v>0228</v>
      </c>
      <c r="L46">
        <v>1</v>
      </c>
      <c r="M46" t="s">
        <v>25</v>
      </c>
      <c r="N46" t="s">
        <v>293</v>
      </c>
      <c r="Q46" t="s">
        <v>27</v>
      </c>
      <c r="R46" t="s">
        <v>28</v>
      </c>
      <c r="T46">
        <v>49142021</v>
      </c>
      <c r="U46">
        <v>86001266</v>
      </c>
      <c r="V46">
        <v>127442</v>
      </c>
    </row>
    <row r="47" spans="1:22" x14ac:dyDescent="0.2">
      <c r="A47">
        <v>317767614</v>
      </c>
      <c r="B47" t="s">
        <v>291</v>
      </c>
      <c r="F47">
        <v>360</v>
      </c>
      <c r="G47" t="s">
        <v>24</v>
      </c>
      <c r="H47" s="1">
        <v>45721.822916666664</v>
      </c>
      <c r="I47" t="s">
        <v>292</v>
      </c>
      <c r="J47" t="str">
        <f>"0944"</f>
        <v>0944</v>
      </c>
      <c r="K47">
        <v>1128</v>
      </c>
      <c r="L47">
        <v>1</v>
      </c>
      <c r="M47" t="s">
        <v>25</v>
      </c>
      <c r="N47" t="s">
        <v>231</v>
      </c>
      <c r="Q47" t="s">
        <v>46</v>
      </c>
      <c r="R47" t="s">
        <v>28</v>
      </c>
      <c r="T47">
        <v>49142061</v>
      </c>
      <c r="U47">
        <v>86001267</v>
      </c>
      <c r="V47">
        <v>127443</v>
      </c>
    </row>
    <row r="48" spans="1:22" x14ac:dyDescent="0.2">
      <c r="A48">
        <v>209863703</v>
      </c>
      <c r="B48" t="s">
        <v>290</v>
      </c>
      <c r="F48">
        <v>150</v>
      </c>
      <c r="G48" t="s">
        <v>24</v>
      </c>
      <c r="H48" s="1">
        <v>45721.823611111111</v>
      </c>
      <c r="I48" t="str">
        <f>"0438572"</f>
        <v>0438572</v>
      </c>
      <c r="J48">
        <v>8103</v>
      </c>
      <c r="K48" t="str">
        <f>"0727"</f>
        <v>0727</v>
      </c>
      <c r="L48">
        <v>1</v>
      </c>
      <c r="M48" t="s">
        <v>25</v>
      </c>
      <c r="N48" t="s">
        <v>290</v>
      </c>
      <c r="Q48" t="s">
        <v>27</v>
      </c>
      <c r="R48" t="s">
        <v>28</v>
      </c>
      <c r="T48">
        <v>49142115</v>
      </c>
      <c r="U48">
        <v>86001268</v>
      </c>
      <c r="V48">
        <v>127444</v>
      </c>
    </row>
    <row r="49" spans="1:22" x14ac:dyDescent="0.2">
      <c r="A49">
        <v>325530202</v>
      </c>
      <c r="B49" t="s">
        <v>285</v>
      </c>
      <c r="F49">
        <v>50</v>
      </c>
      <c r="G49" t="s">
        <v>24</v>
      </c>
      <c r="H49" s="1">
        <v>45721.824305555558</v>
      </c>
      <c r="I49">
        <v>44763</v>
      </c>
      <c r="J49">
        <v>5442</v>
      </c>
      <c r="K49" t="str">
        <f>"0627"</f>
        <v>0627</v>
      </c>
      <c r="L49">
        <v>1</v>
      </c>
      <c r="M49" t="s">
        <v>25</v>
      </c>
      <c r="N49" t="s">
        <v>286</v>
      </c>
      <c r="Q49" t="s">
        <v>27</v>
      </c>
      <c r="R49" t="s">
        <v>28</v>
      </c>
      <c r="T49">
        <v>49142147</v>
      </c>
      <c r="U49">
        <v>86001270</v>
      </c>
      <c r="V49">
        <v>127446</v>
      </c>
    </row>
    <row r="50" spans="1:22" x14ac:dyDescent="0.2">
      <c r="A50" t="str">
        <f>"011834108"</f>
        <v>011834108</v>
      </c>
      <c r="B50" t="s">
        <v>287</v>
      </c>
      <c r="C50" t="s">
        <v>288</v>
      </c>
      <c r="F50">
        <v>50</v>
      </c>
      <c r="G50" t="s">
        <v>24</v>
      </c>
      <c r="H50" s="1">
        <v>45721.824305555558</v>
      </c>
      <c r="I50">
        <v>2047800</v>
      </c>
      <c r="J50">
        <v>7888</v>
      </c>
      <c r="K50" t="str">
        <f>"0525"</f>
        <v>0525</v>
      </c>
      <c r="L50">
        <v>1</v>
      </c>
      <c r="M50" t="s">
        <v>25</v>
      </c>
      <c r="N50" t="s">
        <v>289</v>
      </c>
      <c r="Q50" t="s">
        <v>46</v>
      </c>
      <c r="R50" t="s">
        <v>28</v>
      </c>
      <c r="T50">
        <v>49142145</v>
      </c>
      <c r="U50">
        <v>86001269</v>
      </c>
      <c r="V50">
        <v>127445</v>
      </c>
    </row>
    <row r="51" spans="1:22" x14ac:dyDescent="0.2">
      <c r="A51">
        <v>314954249</v>
      </c>
      <c r="B51" t="s">
        <v>278</v>
      </c>
      <c r="F51">
        <v>100</v>
      </c>
      <c r="G51" t="s">
        <v>24</v>
      </c>
      <c r="H51" s="1">
        <v>45721.825694444444</v>
      </c>
      <c r="I51">
        <v>2057917</v>
      </c>
      <c r="J51">
        <v>5950</v>
      </c>
      <c r="K51" t="str">
        <f>"0829"</f>
        <v>0829</v>
      </c>
      <c r="L51">
        <v>1</v>
      </c>
      <c r="M51" t="s">
        <v>25</v>
      </c>
      <c r="N51" t="s">
        <v>279</v>
      </c>
      <c r="Q51" t="s">
        <v>46</v>
      </c>
      <c r="R51" t="s">
        <v>28</v>
      </c>
      <c r="T51">
        <v>49142207</v>
      </c>
      <c r="U51">
        <v>86001272</v>
      </c>
      <c r="V51">
        <v>127448</v>
      </c>
    </row>
    <row r="52" spans="1:22" x14ac:dyDescent="0.2">
      <c r="A52">
        <v>327484754</v>
      </c>
      <c r="B52" t="s">
        <v>280</v>
      </c>
      <c r="C52" t="s">
        <v>281</v>
      </c>
      <c r="D52" t="s">
        <v>282</v>
      </c>
      <c r="E52" t="s">
        <v>283</v>
      </c>
      <c r="F52">
        <v>18</v>
      </c>
      <c r="G52" t="s">
        <v>24</v>
      </c>
      <c r="H52" s="1">
        <v>45721.825694444444</v>
      </c>
      <c r="I52" t="s">
        <v>284</v>
      </c>
      <c r="J52">
        <v>2600</v>
      </c>
      <c r="K52" t="str">
        <f>"0729"</f>
        <v>0729</v>
      </c>
      <c r="L52">
        <v>1</v>
      </c>
      <c r="M52" t="s">
        <v>25</v>
      </c>
      <c r="Q52" t="s">
        <v>27</v>
      </c>
      <c r="R52" t="s">
        <v>28</v>
      </c>
      <c r="T52">
        <v>49142203</v>
      </c>
      <c r="U52">
        <v>86001271</v>
      </c>
      <c r="V52">
        <v>127447</v>
      </c>
    </row>
    <row r="53" spans="1:22" x14ac:dyDescent="0.2">
      <c r="A53" t="str">
        <f>"034984740"</f>
        <v>034984740</v>
      </c>
      <c r="B53" t="s">
        <v>275</v>
      </c>
      <c r="F53">
        <v>50</v>
      </c>
      <c r="G53" t="s">
        <v>24</v>
      </c>
      <c r="H53" s="1">
        <v>45721.826388888891</v>
      </c>
      <c r="I53">
        <v>2064510</v>
      </c>
      <c r="J53">
        <v>7617</v>
      </c>
      <c r="K53" t="str">
        <f>"0230"</f>
        <v>0230</v>
      </c>
      <c r="L53" t="s">
        <v>276</v>
      </c>
      <c r="M53" t="s">
        <v>25</v>
      </c>
      <c r="N53" t="s">
        <v>277</v>
      </c>
      <c r="Q53" t="s">
        <v>46</v>
      </c>
      <c r="R53" t="s">
        <v>28</v>
      </c>
      <c r="T53">
        <v>49142253</v>
      </c>
      <c r="U53">
        <v>86001273</v>
      </c>
      <c r="V53">
        <v>127449</v>
      </c>
    </row>
    <row r="54" spans="1:22" x14ac:dyDescent="0.2">
      <c r="A54" t="str">
        <f>"058731696"</f>
        <v>058731696</v>
      </c>
      <c r="B54" t="s">
        <v>273</v>
      </c>
      <c r="F54">
        <v>66</v>
      </c>
      <c r="G54" t="s">
        <v>24</v>
      </c>
      <c r="H54" s="1">
        <v>45721.827777777777</v>
      </c>
      <c r="I54">
        <v>2076499</v>
      </c>
      <c r="J54">
        <v>5144</v>
      </c>
      <c r="K54">
        <v>1230</v>
      </c>
      <c r="L54">
        <v>1</v>
      </c>
      <c r="M54" t="s">
        <v>25</v>
      </c>
      <c r="N54" t="s">
        <v>207</v>
      </c>
      <c r="Q54" t="s">
        <v>27</v>
      </c>
      <c r="R54" t="s">
        <v>28</v>
      </c>
      <c r="T54">
        <v>49142324</v>
      </c>
      <c r="U54">
        <v>86001275</v>
      </c>
      <c r="V54">
        <v>127451</v>
      </c>
    </row>
    <row r="55" spans="1:22" x14ac:dyDescent="0.2">
      <c r="A55" t="str">
        <f>"036287423"</f>
        <v>036287423</v>
      </c>
      <c r="B55" t="s">
        <v>267</v>
      </c>
      <c r="C55" t="s">
        <v>268</v>
      </c>
      <c r="D55" t="s">
        <v>269</v>
      </c>
      <c r="E55" t="s">
        <v>270</v>
      </c>
      <c r="F55">
        <v>100</v>
      </c>
      <c r="G55" t="s">
        <v>24</v>
      </c>
      <c r="H55" s="1">
        <v>45721.827777777777</v>
      </c>
      <c r="I55" t="str">
        <f>"0573071"</f>
        <v>0573071</v>
      </c>
      <c r="J55">
        <v>6440</v>
      </c>
      <c r="K55">
        <v>1226</v>
      </c>
      <c r="L55">
        <v>1</v>
      </c>
      <c r="M55" t="s">
        <v>25</v>
      </c>
      <c r="N55" t="s">
        <v>274</v>
      </c>
      <c r="Q55" t="s">
        <v>27</v>
      </c>
      <c r="R55" t="s">
        <v>28</v>
      </c>
      <c r="T55">
        <v>49142298</v>
      </c>
      <c r="U55">
        <v>86001274</v>
      </c>
      <c r="V55">
        <v>127450</v>
      </c>
    </row>
    <row r="56" spans="1:22" x14ac:dyDescent="0.2">
      <c r="A56" t="str">
        <f>"036287423"</f>
        <v>036287423</v>
      </c>
      <c r="B56" t="s">
        <v>267</v>
      </c>
      <c r="C56" t="s">
        <v>268</v>
      </c>
      <c r="D56" t="s">
        <v>269</v>
      </c>
      <c r="E56" t="s">
        <v>270</v>
      </c>
      <c r="F56">
        <v>110</v>
      </c>
      <c r="G56" t="s">
        <v>24</v>
      </c>
      <c r="H56" s="1">
        <v>45721.828472222223</v>
      </c>
      <c r="I56" t="str">
        <f>"0597328"</f>
        <v>0597328</v>
      </c>
      <c r="J56">
        <v>6440</v>
      </c>
      <c r="K56">
        <v>1226</v>
      </c>
      <c r="L56">
        <v>1</v>
      </c>
      <c r="M56" t="s">
        <v>25</v>
      </c>
      <c r="N56" t="s">
        <v>272</v>
      </c>
      <c r="Q56" t="s">
        <v>27</v>
      </c>
      <c r="R56" t="s">
        <v>28</v>
      </c>
      <c r="T56">
        <v>49142330</v>
      </c>
      <c r="U56">
        <v>86001276</v>
      </c>
      <c r="V56">
        <v>127452</v>
      </c>
    </row>
    <row r="57" spans="1:22" x14ac:dyDescent="0.2">
      <c r="A57">
        <v>325435246</v>
      </c>
      <c r="B57" t="s">
        <v>255</v>
      </c>
      <c r="C57" t="s">
        <v>265</v>
      </c>
      <c r="D57" t="s">
        <v>257</v>
      </c>
      <c r="E57" t="s">
        <v>258</v>
      </c>
      <c r="F57">
        <v>40</v>
      </c>
      <c r="G57" t="s">
        <v>24</v>
      </c>
      <c r="H57" s="1">
        <v>45721.82916666667</v>
      </c>
      <c r="I57">
        <v>2085861</v>
      </c>
      <c r="J57">
        <v>2280</v>
      </c>
      <c r="K57" t="str">
        <f>"0629"</f>
        <v>0629</v>
      </c>
      <c r="L57">
        <v>1</v>
      </c>
      <c r="M57" t="s">
        <v>25</v>
      </c>
      <c r="N57" t="s">
        <v>266</v>
      </c>
      <c r="Q57" t="s">
        <v>46</v>
      </c>
      <c r="R57" t="s">
        <v>28</v>
      </c>
      <c r="T57">
        <v>49142386</v>
      </c>
      <c r="U57">
        <v>86001278</v>
      </c>
      <c r="V57">
        <v>127454</v>
      </c>
    </row>
    <row r="58" spans="1:22" x14ac:dyDescent="0.2">
      <c r="A58" t="str">
        <f>"036287423"</f>
        <v>036287423</v>
      </c>
      <c r="B58" t="s">
        <v>267</v>
      </c>
      <c r="C58" t="s">
        <v>268</v>
      </c>
      <c r="D58" t="s">
        <v>269</v>
      </c>
      <c r="E58" t="s">
        <v>270</v>
      </c>
      <c r="F58">
        <v>105</v>
      </c>
      <c r="G58" t="s">
        <v>24</v>
      </c>
      <c r="H58" s="1">
        <v>45721.82916666667</v>
      </c>
      <c r="I58" t="str">
        <f>"0623702"</f>
        <v>0623702</v>
      </c>
      <c r="J58">
        <v>6440</v>
      </c>
      <c r="K58">
        <v>1226</v>
      </c>
      <c r="L58">
        <v>1</v>
      </c>
      <c r="M58" t="s">
        <v>25</v>
      </c>
      <c r="N58" t="s">
        <v>271</v>
      </c>
      <c r="Q58" t="s">
        <v>27</v>
      </c>
      <c r="R58" t="s">
        <v>28</v>
      </c>
      <c r="T58">
        <v>49142370</v>
      </c>
      <c r="U58">
        <v>86001277</v>
      </c>
      <c r="V58">
        <v>127453</v>
      </c>
    </row>
    <row r="59" spans="1:22" x14ac:dyDescent="0.2">
      <c r="A59">
        <v>328115449</v>
      </c>
      <c r="B59" t="s">
        <v>264</v>
      </c>
      <c r="F59">
        <v>200</v>
      </c>
      <c r="G59" t="s">
        <v>24</v>
      </c>
      <c r="H59" s="1">
        <v>45721.831250000003</v>
      </c>
      <c r="I59">
        <v>61628</v>
      </c>
      <c r="J59">
        <v>3227</v>
      </c>
      <c r="K59">
        <v>1230</v>
      </c>
      <c r="L59">
        <v>1</v>
      </c>
      <c r="M59" t="s">
        <v>25</v>
      </c>
      <c r="N59" t="s">
        <v>179</v>
      </c>
      <c r="Q59" t="s">
        <v>27</v>
      </c>
      <c r="R59" t="s">
        <v>28</v>
      </c>
      <c r="T59">
        <v>49142469</v>
      </c>
      <c r="U59">
        <v>86001279</v>
      </c>
      <c r="V59">
        <v>127455</v>
      </c>
    </row>
    <row r="60" spans="1:22" x14ac:dyDescent="0.2">
      <c r="A60" t="str">
        <f>"002562300"</f>
        <v>002562300</v>
      </c>
      <c r="B60" t="s">
        <v>262</v>
      </c>
      <c r="F60">
        <v>30</v>
      </c>
      <c r="G60" t="s">
        <v>24</v>
      </c>
      <c r="H60" s="1">
        <v>45721.831944444442</v>
      </c>
      <c r="I60">
        <v>2108369</v>
      </c>
      <c r="J60">
        <v>9119</v>
      </c>
      <c r="K60" t="str">
        <f>"0131"</f>
        <v>0131</v>
      </c>
      <c r="L60">
        <v>1</v>
      </c>
      <c r="M60" t="s">
        <v>25</v>
      </c>
      <c r="N60" t="s">
        <v>263</v>
      </c>
      <c r="Q60" t="s">
        <v>46</v>
      </c>
      <c r="R60" t="s">
        <v>28</v>
      </c>
      <c r="T60">
        <v>49142542</v>
      </c>
      <c r="U60">
        <v>86001280</v>
      </c>
      <c r="V60">
        <v>127456</v>
      </c>
    </row>
    <row r="61" spans="1:22" x14ac:dyDescent="0.2">
      <c r="A61">
        <v>325435246</v>
      </c>
      <c r="B61" t="s">
        <v>255</v>
      </c>
      <c r="C61" t="s">
        <v>256</v>
      </c>
      <c r="D61" t="s">
        <v>257</v>
      </c>
      <c r="E61" t="s">
        <v>258</v>
      </c>
      <c r="F61">
        <v>45</v>
      </c>
      <c r="G61" t="s">
        <v>24</v>
      </c>
      <c r="H61" s="1">
        <v>45721.833333333336</v>
      </c>
      <c r="I61">
        <v>2116867</v>
      </c>
      <c r="J61">
        <v>2280</v>
      </c>
      <c r="K61" t="str">
        <f>"0629"</f>
        <v>0629</v>
      </c>
      <c r="L61">
        <v>1</v>
      </c>
      <c r="M61" t="s">
        <v>25</v>
      </c>
      <c r="N61" t="s">
        <v>259</v>
      </c>
      <c r="Q61" t="s">
        <v>46</v>
      </c>
      <c r="R61" t="s">
        <v>28</v>
      </c>
      <c r="T61">
        <v>49142598</v>
      </c>
      <c r="U61">
        <v>86001282</v>
      </c>
      <c r="V61">
        <v>127458</v>
      </c>
    </row>
    <row r="62" spans="1:22" x14ac:dyDescent="0.2">
      <c r="B62" t="s">
        <v>260</v>
      </c>
      <c r="F62">
        <v>50</v>
      </c>
      <c r="G62" t="s">
        <v>24</v>
      </c>
      <c r="H62" s="1">
        <v>45721.833333333336</v>
      </c>
      <c r="I62" t="str">
        <f>"0770529"</f>
        <v>0770529</v>
      </c>
      <c r="J62" t="str">
        <f>"0646"</f>
        <v>0646</v>
      </c>
      <c r="K62" t="str">
        <f>"0426"</f>
        <v>0426</v>
      </c>
      <c r="L62">
        <v>1</v>
      </c>
      <c r="M62" t="s">
        <v>25</v>
      </c>
      <c r="N62" t="s">
        <v>261</v>
      </c>
      <c r="Q62" t="s">
        <v>27</v>
      </c>
      <c r="R62" t="s">
        <v>28</v>
      </c>
      <c r="T62">
        <v>49142588</v>
      </c>
      <c r="U62">
        <v>86001281</v>
      </c>
      <c r="V62">
        <v>127457</v>
      </c>
    </row>
    <row r="63" spans="1:22" x14ac:dyDescent="0.2">
      <c r="A63">
        <v>216372235</v>
      </c>
      <c r="B63" t="s">
        <v>252</v>
      </c>
      <c r="F63">
        <v>98</v>
      </c>
      <c r="G63" t="s">
        <v>24</v>
      </c>
      <c r="H63" s="1">
        <v>45721.834027777775</v>
      </c>
      <c r="I63">
        <v>68953</v>
      </c>
      <c r="J63">
        <v>5640</v>
      </c>
      <c r="K63">
        <v>1128</v>
      </c>
      <c r="L63">
        <v>1</v>
      </c>
      <c r="M63" t="s">
        <v>25</v>
      </c>
      <c r="N63" t="s">
        <v>65</v>
      </c>
      <c r="Q63" t="s">
        <v>27</v>
      </c>
      <c r="R63" t="s">
        <v>28</v>
      </c>
      <c r="T63">
        <v>49142660</v>
      </c>
      <c r="U63">
        <v>86001284</v>
      </c>
      <c r="V63">
        <v>127460</v>
      </c>
    </row>
    <row r="64" spans="1:22" x14ac:dyDescent="0.2">
      <c r="A64" t="str">
        <f>"023937253"</f>
        <v>023937253</v>
      </c>
      <c r="B64" t="s">
        <v>253</v>
      </c>
      <c r="F64">
        <v>101</v>
      </c>
      <c r="G64" t="s">
        <v>24</v>
      </c>
      <c r="H64" s="1">
        <v>45721.834027777775</v>
      </c>
      <c r="I64" t="str">
        <f>"0791822"</f>
        <v>0791822</v>
      </c>
      <c r="J64">
        <v>6107</v>
      </c>
      <c r="K64" t="str">
        <f>"0628"</f>
        <v>0628</v>
      </c>
      <c r="L64">
        <v>1</v>
      </c>
      <c r="M64" t="s">
        <v>25</v>
      </c>
      <c r="N64" t="s">
        <v>254</v>
      </c>
      <c r="Q64" t="s">
        <v>27</v>
      </c>
      <c r="R64" t="s">
        <v>28</v>
      </c>
      <c r="T64">
        <v>49142624</v>
      </c>
      <c r="U64">
        <v>86001283</v>
      </c>
      <c r="V64">
        <v>127459</v>
      </c>
    </row>
    <row r="65" spans="1:22" x14ac:dyDescent="0.2">
      <c r="A65" t="str">
        <f>"036910313"</f>
        <v>036910313</v>
      </c>
      <c r="B65" t="s">
        <v>152</v>
      </c>
      <c r="C65" t="s">
        <v>153</v>
      </c>
      <c r="D65" t="s">
        <v>154</v>
      </c>
      <c r="E65" t="s">
        <v>155</v>
      </c>
      <c r="F65">
        <v>10</v>
      </c>
      <c r="G65" t="s">
        <v>24</v>
      </c>
      <c r="H65" s="1">
        <v>45721.834722222222</v>
      </c>
      <c r="I65" t="str">
        <f>"0834499"</f>
        <v>0834499</v>
      </c>
      <c r="J65">
        <v>8043</v>
      </c>
      <c r="K65">
        <v>1230</v>
      </c>
      <c r="L65" t="s">
        <v>250</v>
      </c>
      <c r="M65" t="s">
        <v>25</v>
      </c>
      <c r="N65" t="s">
        <v>251</v>
      </c>
      <c r="Q65" t="s">
        <v>27</v>
      </c>
      <c r="R65" t="s">
        <v>28</v>
      </c>
      <c r="T65">
        <v>49142700</v>
      </c>
      <c r="U65">
        <v>86001285</v>
      </c>
      <c r="V65">
        <v>127461</v>
      </c>
    </row>
    <row r="66" spans="1:22" x14ac:dyDescent="0.2">
      <c r="A66">
        <v>327935136</v>
      </c>
      <c r="B66" t="s">
        <v>244</v>
      </c>
      <c r="C66" t="s">
        <v>245</v>
      </c>
      <c r="D66" t="s">
        <v>246</v>
      </c>
      <c r="E66" t="s">
        <v>247</v>
      </c>
      <c r="F66">
        <v>50</v>
      </c>
      <c r="G66" t="s">
        <v>24</v>
      </c>
      <c r="H66" s="1">
        <v>45721.835416666669</v>
      </c>
      <c r="I66" t="str">
        <f>"0000000"</f>
        <v>0000000</v>
      </c>
      <c r="J66" t="str">
        <f>"0665"</f>
        <v>0665</v>
      </c>
      <c r="L66">
        <v>1</v>
      </c>
      <c r="M66" t="s">
        <v>25</v>
      </c>
      <c r="N66" t="s">
        <v>248</v>
      </c>
      <c r="Q66" t="s">
        <v>134</v>
      </c>
      <c r="R66">
        <v>30</v>
      </c>
      <c r="T66">
        <v>49142756</v>
      </c>
      <c r="V66">
        <v>127463</v>
      </c>
    </row>
    <row r="67" spans="1:22" x14ac:dyDescent="0.2">
      <c r="A67">
        <v>215602244</v>
      </c>
      <c r="B67" t="s">
        <v>249</v>
      </c>
      <c r="F67">
        <v>200</v>
      </c>
      <c r="G67" t="s">
        <v>24</v>
      </c>
      <c r="H67" s="1">
        <v>45721.835416666669</v>
      </c>
      <c r="I67" t="str">
        <f>"0842104"</f>
        <v>0842104</v>
      </c>
      <c r="J67">
        <v>4922</v>
      </c>
      <c r="K67" t="str">
        <f>"0530"</f>
        <v>0530</v>
      </c>
      <c r="L67">
        <v>1</v>
      </c>
      <c r="M67" t="s">
        <v>25</v>
      </c>
      <c r="N67" t="s">
        <v>168</v>
      </c>
      <c r="Q67" t="s">
        <v>27</v>
      </c>
      <c r="R67" t="s">
        <v>28</v>
      </c>
      <c r="T67">
        <v>49142727</v>
      </c>
      <c r="U67">
        <v>86001286</v>
      </c>
      <c r="V67">
        <v>127462</v>
      </c>
    </row>
    <row r="68" spans="1:22" x14ac:dyDescent="0.2">
      <c r="A68">
        <v>216095745</v>
      </c>
      <c r="B68" t="s">
        <v>232</v>
      </c>
      <c r="F68">
        <v>50</v>
      </c>
      <c r="G68" t="s">
        <v>24</v>
      </c>
      <c r="H68" s="1">
        <v>45721.836111111108</v>
      </c>
      <c r="I68">
        <v>2139821</v>
      </c>
      <c r="J68">
        <v>7492</v>
      </c>
      <c r="K68">
        <v>1030</v>
      </c>
      <c r="L68">
        <v>1</v>
      </c>
      <c r="M68" t="s">
        <v>25</v>
      </c>
      <c r="N68" t="s">
        <v>233</v>
      </c>
      <c r="Q68" t="s">
        <v>46</v>
      </c>
      <c r="R68" t="s">
        <v>28</v>
      </c>
      <c r="T68">
        <v>49142795</v>
      </c>
      <c r="U68">
        <v>86001288</v>
      </c>
      <c r="V68">
        <v>127466</v>
      </c>
    </row>
    <row r="69" spans="1:22" x14ac:dyDescent="0.2">
      <c r="A69">
        <v>331784769</v>
      </c>
      <c r="B69" t="s">
        <v>234</v>
      </c>
      <c r="C69" t="s">
        <v>235</v>
      </c>
      <c r="D69" t="s">
        <v>236</v>
      </c>
      <c r="E69" t="s">
        <v>237</v>
      </c>
      <c r="F69">
        <v>20</v>
      </c>
      <c r="G69" t="s">
        <v>24</v>
      </c>
      <c r="H69" s="1">
        <v>45721.836111111108</v>
      </c>
      <c r="I69">
        <v>72955</v>
      </c>
      <c r="J69">
        <v>8689</v>
      </c>
      <c r="K69" t="str">
        <f>"0730"</f>
        <v>0730</v>
      </c>
      <c r="L69">
        <v>1</v>
      </c>
      <c r="M69" t="s">
        <v>25</v>
      </c>
      <c r="N69" t="s">
        <v>238</v>
      </c>
      <c r="Q69" t="s">
        <v>27</v>
      </c>
      <c r="R69" t="s">
        <v>28</v>
      </c>
      <c r="T69">
        <v>49142768</v>
      </c>
      <c r="U69">
        <v>86001287</v>
      </c>
      <c r="V69">
        <v>127465</v>
      </c>
    </row>
    <row r="70" spans="1:22" x14ac:dyDescent="0.2">
      <c r="A70">
        <v>312793870</v>
      </c>
      <c r="B70" t="s">
        <v>239</v>
      </c>
      <c r="C70" t="s">
        <v>240</v>
      </c>
      <c r="D70" t="s">
        <v>241</v>
      </c>
      <c r="E70" t="s">
        <v>242</v>
      </c>
      <c r="F70">
        <v>200</v>
      </c>
      <c r="G70" t="s">
        <v>24</v>
      </c>
      <c r="H70" s="1">
        <v>45721.836111111108</v>
      </c>
      <c r="I70" t="str">
        <f>"0000000"</f>
        <v>0000000</v>
      </c>
      <c r="J70">
        <v>5911</v>
      </c>
      <c r="L70">
        <v>1</v>
      </c>
      <c r="M70" t="s">
        <v>25</v>
      </c>
      <c r="N70" t="s">
        <v>243</v>
      </c>
      <c r="Q70" t="s">
        <v>134</v>
      </c>
      <c r="R70">
        <v>30</v>
      </c>
      <c r="T70">
        <v>49142764</v>
      </c>
      <c r="V70">
        <v>127464</v>
      </c>
    </row>
    <row r="71" spans="1:22" x14ac:dyDescent="0.2">
      <c r="A71">
        <v>317767564</v>
      </c>
      <c r="B71" t="s">
        <v>230</v>
      </c>
      <c r="F71">
        <v>500</v>
      </c>
      <c r="G71" t="s">
        <v>24</v>
      </c>
      <c r="H71" s="1">
        <v>45721.837500000001</v>
      </c>
      <c r="I71">
        <v>2149049</v>
      </c>
      <c r="J71">
        <v>2190</v>
      </c>
      <c r="K71" t="str">
        <f>"0529"</f>
        <v>0529</v>
      </c>
      <c r="L71">
        <v>1</v>
      </c>
      <c r="M71" t="s">
        <v>25</v>
      </c>
      <c r="N71" t="s">
        <v>231</v>
      </c>
      <c r="Q71" t="s">
        <v>46</v>
      </c>
      <c r="R71" t="s">
        <v>28</v>
      </c>
      <c r="T71">
        <v>49142855</v>
      </c>
      <c r="U71">
        <v>86001289</v>
      </c>
      <c r="V71">
        <v>127467</v>
      </c>
    </row>
    <row r="72" spans="1:22" x14ac:dyDescent="0.2">
      <c r="A72">
        <v>203630702</v>
      </c>
      <c r="B72" t="s">
        <v>227</v>
      </c>
      <c r="F72">
        <v>50</v>
      </c>
      <c r="G72" t="s">
        <v>24</v>
      </c>
      <c r="H72" s="1">
        <v>45721.838888888888</v>
      </c>
      <c r="I72" t="str">
        <f>"0971325"</f>
        <v>0971325</v>
      </c>
      <c r="J72">
        <v>4987</v>
      </c>
      <c r="K72" t="str">
        <f>"0829"</f>
        <v>0829</v>
      </c>
      <c r="L72">
        <v>1</v>
      </c>
      <c r="M72" t="s">
        <v>25</v>
      </c>
      <c r="N72" t="s">
        <v>116</v>
      </c>
      <c r="Q72" t="s">
        <v>27</v>
      </c>
      <c r="R72" t="s">
        <v>28</v>
      </c>
      <c r="T72">
        <v>49142942</v>
      </c>
      <c r="U72">
        <v>86001291</v>
      </c>
      <c r="V72">
        <v>127469</v>
      </c>
    </row>
    <row r="73" spans="1:22" x14ac:dyDescent="0.2">
      <c r="A73">
        <v>215261041</v>
      </c>
      <c r="B73" t="s">
        <v>228</v>
      </c>
      <c r="F73">
        <v>35</v>
      </c>
      <c r="G73" t="s">
        <v>24</v>
      </c>
      <c r="H73" s="1">
        <v>45721.838888888888</v>
      </c>
      <c r="I73" t="str">
        <f>"0966754"</f>
        <v>0966754</v>
      </c>
      <c r="J73">
        <v>5553</v>
      </c>
      <c r="K73" t="str">
        <f>"0930"</f>
        <v>0930</v>
      </c>
      <c r="L73">
        <v>1</v>
      </c>
      <c r="M73" t="s">
        <v>25</v>
      </c>
      <c r="N73" t="s">
        <v>229</v>
      </c>
      <c r="Q73" t="s">
        <v>27</v>
      </c>
      <c r="R73" t="s">
        <v>28</v>
      </c>
      <c r="T73">
        <v>49142925</v>
      </c>
      <c r="U73">
        <v>86001290</v>
      </c>
      <c r="V73">
        <v>127468</v>
      </c>
    </row>
    <row r="74" spans="1:22" x14ac:dyDescent="0.2">
      <c r="A74" t="str">
        <f>"025322660"</f>
        <v>025322660</v>
      </c>
      <c r="B74" t="s">
        <v>219</v>
      </c>
      <c r="C74" t="s">
        <v>220</v>
      </c>
      <c r="D74" t="s">
        <v>221</v>
      </c>
      <c r="E74" t="s">
        <v>222</v>
      </c>
      <c r="F74">
        <v>200</v>
      </c>
      <c r="G74" t="s">
        <v>24</v>
      </c>
      <c r="H74" s="1">
        <v>45721.839583333334</v>
      </c>
      <c r="I74" t="str">
        <f>"0008300"</f>
        <v>0008300</v>
      </c>
      <c r="J74">
        <v>1629</v>
      </c>
      <c r="K74" t="str">
        <f>"0430"</f>
        <v>0430</v>
      </c>
      <c r="L74">
        <v>1</v>
      </c>
      <c r="M74" t="s">
        <v>25</v>
      </c>
      <c r="N74" t="s">
        <v>223</v>
      </c>
      <c r="Q74" t="s">
        <v>27</v>
      </c>
      <c r="R74" t="s">
        <v>28</v>
      </c>
      <c r="T74">
        <v>49142994</v>
      </c>
      <c r="U74">
        <v>86001294</v>
      </c>
      <c r="V74">
        <v>127472</v>
      </c>
    </row>
    <row r="75" spans="1:22" x14ac:dyDescent="0.2">
      <c r="A75" t="str">
        <f>"039033493"</f>
        <v>039033493</v>
      </c>
      <c r="B75" t="s">
        <v>224</v>
      </c>
      <c r="F75">
        <v>150</v>
      </c>
      <c r="G75" t="s">
        <v>24</v>
      </c>
      <c r="H75" s="1">
        <v>45721.839583333334</v>
      </c>
      <c r="I75" t="str">
        <f>"0004838"</f>
        <v>0004838</v>
      </c>
      <c r="J75">
        <v>3074</v>
      </c>
      <c r="K75">
        <v>1228</v>
      </c>
      <c r="L75">
        <v>1</v>
      </c>
      <c r="M75" t="s">
        <v>25</v>
      </c>
      <c r="N75" t="s">
        <v>225</v>
      </c>
      <c r="Q75" t="s">
        <v>27</v>
      </c>
      <c r="R75" t="s">
        <v>28</v>
      </c>
      <c r="T75">
        <v>49142986</v>
      </c>
      <c r="U75">
        <v>86001293</v>
      </c>
      <c r="V75">
        <v>127471</v>
      </c>
    </row>
    <row r="76" spans="1:22" x14ac:dyDescent="0.2">
      <c r="B76" t="s">
        <v>226</v>
      </c>
      <c r="F76">
        <v>36</v>
      </c>
      <c r="G76" t="s">
        <v>24</v>
      </c>
      <c r="H76" s="1">
        <v>45721.839583333334</v>
      </c>
      <c r="I76">
        <v>20944</v>
      </c>
      <c r="J76">
        <v>9239</v>
      </c>
      <c r="K76">
        <v>1027</v>
      </c>
      <c r="L76">
        <v>1</v>
      </c>
      <c r="M76" t="s">
        <v>25</v>
      </c>
      <c r="N76" t="s">
        <v>39</v>
      </c>
      <c r="Q76" t="s">
        <v>46</v>
      </c>
      <c r="R76" t="s">
        <v>28</v>
      </c>
      <c r="T76">
        <v>49142984</v>
      </c>
      <c r="U76">
        <v>86001292</v>
      </c>
      <c r="V76">
        <v>127470</v>
      </c>
    </row>
    <row r="77" spans="1:22" x14ac:dyDescent="0.2">
      <c r="A77">
        <v>212172266</v>
      </c>
      <c r="B77" t="s">
        <v>215</v>
      </c>
      <c r="C77" t="s">
        <v>216</v>
      </c>
      <c r="D77" t="s">
        <v>217</v>
      </c>
      <c r="E77" t="s">
        <v>218</v>
      </c>
      <c r="F77">
        <v>180</v>
      </c>
      <c r="G77" t="s">
        <v>24</v>
      </c>
      <c r="H77" s="1">
        <v>45721.840277777781</v>
      </c>
      <c r="I77">
        <v>2170131</v>
      </c>
      <c r="J77">
        <v>2834</v>
      </c>
      <c r="K77">
        <v>1227</v>
      </c>
      <c r="L77">
        <v>1</v>
      </c>
      <c r="M77" t="s">
        <v>25</v>
      </c>
      <c r="Q77" t="s">
        <v>46</v>
      </c>
      <c r="R77" t="s">
        <v>28</v>
      </c>
      <c r="T77">
        <v>49143014</v>
      </c>
      <c r="U77">
        <v>86001295</v>
      </c>
      <c r="V77">
        <v>127473</v>
      </c>
    </row>
    <row r="78" spans="1:22" x14ac:dyDescent="0.2">
      <c r="B78" t="s">
        <v>214</v>
      </c>
      <c r="F78">
        <v>300</v>
      </c>
      <c r="G78" t="s">
        <v>24</v>
      </c>
      <c r="H78" s="1">
        <v>45721.84097222222</v>
      </c>
      <c r="I78">
        <v>21113</v>
      </c>
      <c r="J78">
        <v>9239</v>
      </c>
      <c r="K78">
        <v>1027</v>
      </c>
      <c r="L78">
        <v>1</v>
      </c>
      <c r="M78" t="s">
        <v>25</v>
      </c>
      <c r="N78" t="s">
        <v>39</v>
      </c>
      <c r="Q78" t="s">
        <v>46</v>
      </c>
      <c r="R78" t="s">
        <v>28</v>
      </c>
      <c r="T78">
        <v>49143042</v>
      </c>
      <c r="U78">
        <v>86001296</v>
      </c>
      <c r="V78">
        <v>127474</v>
      </c>
    </row>
    <row r="79" spans="1:22" x14ac:dyDescent="0.2">
      <c r="A79">
        <v>215189234</v>
      </c>
      <c r="B79" t="s">
        <v>213</v>
      </c>
      <c r="F79">
        <v>100</v>
      </c>
      <c r="G79" t="s">
        <v>24</v>
      </c>
      <c r="H79" s="1">
        <v>45721.841666666667</v>
      </c>
      <c r="I79">
        <v>87027</v>
      </c>
      <c r="J79">
        <v>2747</v>
      </c>
      <c r="K79" t="str">
        <f>"0727"</f>
        <v>0727</v>
      </c>
      <c r="L79">
        <v>1</v>
      </c>
      <c r="M79" t="s">
        <v>25</v>
      </c>
      <c r="N79" t="s">
        <v>39</v>
      </c>
      <c r="Q79" t="s">
        <v>27</v>
      </c>
      <c r="R79" t="s">
        <v>28</v>
      </c>
      <c r="T79">
        <v>49143080</v>
      </c>
      <c r="U79">
        <v>86001297</v>
      </c>
      <c r="V79">
        <v>127475</v>
      </c>
    </row>
    <row r="80" spans="1:22" x14ac:dyDescent="0.2">
      <c r="B80" t="s">
        <v>212</v>
      </c>
      <c r="F80">
        <v>1300</v>
      </c>
      <c r="G80" t="s">
        <v>24</v>
      </c>
      <c r="H80" s="1">
        <v>45721.843055555553</v>
      </c>
      <c r="I80" t="str">
        <f>"0121095"</f>
        <v>0121095</v>
      </c>
      <c r="J80">
        <v>2762</v>
      </c>
      <c r="K80" t="str">
        <f>"0830"</f>
        <v>0830</v>
      </c>
      <c r="L80">
        <v>1</v>
      </c>
      <c r="M80" t="s">
        <v>25</v>
      </c>
      <c r="N80" t="s">
        <v>212</v>
      </c>
      <c r="Q80" t="s">
        <v>27</v>
      </c>
      <c r="R80" t="s">
        <v>28</v>
      </c>
      <c r="T80">
        <v>49143155</v>
      </c>
      <c r="U80">
        <v>86001298</v>
      </c>
      <c r="V80">
        <v>127476</v>
      </c>
    </row>
    <row r="81" spans="1:22" x14ac:dyDescent="0.2">
      <c r="A81">
        <v>327122081</v>
      </c>
      <c r="B81" t="s">
        <v>208</v>
      </c>
      <c r="C81" t="s">
        <v>69</v>
      </c>
      <c r="D81" t="s">
        <v>209</v>
      </c>
      <c r="E81" t="s">
        <v>210</v>
      </c>
      <c r="F81">
        <v>252</v>
      </c>
      <c r="G81" t="s">
        <v>24</v>
      </c>
      <c r="H81" s="1">
        <v>45721.844444444447</v>
      </c>
      <c r="I81">
        <v>94063</v>
      </c>
      <c r="J81">
        <v>2349</v>
      </c>
      <c r="K81" t="str">
        <f>"0327"</f>
        <v>0327</v>
      </c>
      <c r="L81">
        <v>1</v>
      </c>
      <c r="M81" t="s">
        <v>25</v>
      </c>
      <c r="N81" t="s">
        <v>211</v>
      </c>
      <c r="Q81" t="s">
        <v>27</v>
      </c>
      <c r="R81" t="s">
        <v>28</v>
      </c>
      <c r="T81">
        <v>49143236</v>
      </c>
      <c r="U81">
        <v>86001299</v>
      </c>
      <c r="V81">
        <v>127477</v>
      </c>
    </row>
    <row r="82" spans="1:22" x14ac:dyDescent="0.2">
      <c r="A82">
        <v>345814222</v>
      </c>
      <c r="B82" t="s">
        <v>201</v>
      </c>
      <c r="C82" t="s">
        <v>202</v>
      </c>
      <c r="D82" t="s">
        <v>203</v>
      </c>
      <c r="E82" t="s">
        <v>204</v>
      </c>
      <c r="F82">
        <v>50</v>
      </c>
      <c r="G82" t="s">
        <v>24</v>
      </c>
      <c r="H82" s="1">
        <v>45721.845138888886</v>
      </c>
      <c r="I82">
        <v>2205691</v>
      </c>
      <c r="J82">
        <v>9116</v>
      </c>
      <c r="K82" t="str">
        <f>"0326"</f>
        <v>0326</v>
      </c>
      <c r="L82">
        <v>1</v>
      </c>
      <c r="M82" t="s">
        <v>25</v>
      </c>
      <c r="N82" t="s">
        <v>205</v>
      </c>
      <c r="Q82" t="s">
        <v>46</v>
      </c>
      <c r="R82" t="s">
        <v>28</v>
      </c>
      <c r="T82">
        <v>49143280</v>
      </c>
      <c r="U82">
        <v>86001301</v>
      </c>
      <c r="V82">
        <v>127479</v>
      </c>
    </row>
    <row r="83" spans="1:22" x14ac:dyDescent="0.2">
      <c r="A83" t="str">
        <f>"036111938"</f>
        <v>036111938</v>
      </c>
      <c r="B83" t="s">
        <v>206</v>
      </c>
      <c r="F83">
        <v>10</v>
      </c>
      <c r="G83" t="s">
        <v>24</v>
      </c>
      <c r="H83" s="1">
        <v>45721.845138888886</v>
      </c>
      <c r="I83">
        <v>2203158</v>
      </c>
      <c r="J83">
        <v>2115</v>
      </c>
      <c r="K83" t="str">
        <f>"0630"</f>
        <v>0630</v>
      </c>
      <c r="L83">
        <v>1</v>
      </c>
      <c r="M83" t="s">
        <v>25</v>
      </c>
      <c r="N83" t="s">
        <v>207</v>
      </c>
      <c r="Q83" t="s">
        <v>46</v>
      </c>
      <c r="R83" t="s">
        <v>28</v>
      </c>
      <c r="T83">
        <v>49143259</v>
      </c>
      <c r="U83">
        <v>86001300</v>
      </c>
      <c r="V83">
        <v>127478</v>
      </c>
    </row>
    <row r="84" spans="1:22" x14ac:dyDescent="0.2">
      <c r="A84">
        <v>216125294</v>
      </c>
      <c r="B84" t="s">
        <v>195</v>
      </c>
      <c r="F84">
        <v>200</v>
      </c>
      <c r="G84" t="s">
        <v>24</v>
      </c>
      <c r="H84" s="1">
        <v>45721.845833333333</v>
      </c>
      <c r="I84">
        <v>2210176</v>
      </c>
      <c r="J84">
        <v>2623</v>
      </c>
      <c r="K84" t="str">
        <f>"0730"</f>
        <v>0730</v>
      </c>
      <c r="L84">
        <v>1</v>
      </c>
      <c r="M84" t="s">
        <v>25</v>
      </c>
      <c r="N84" t="s">
        <v>196</v>
      </c>
      <c r="Q84" t="s">
        <v>27</v>
      </c>
      <c r="R84" t="s">
        <v>28</v>
      </c>
      <c r="T84">
        <v>49143324</v>
      </c>
      <c r="U84">
        <v>86001303</v>
      </c>
      <c r="V84">
        <v>127481</v>
      </c>
    </row>
    <row r="85" spans="1:22" x14ac:dyDescent="0.2">
      <c r="A85">
        <v>200279537</v>
      </c>
      <c r="B85" t="s">
        <v>197</v>
      </c>
      <c r="C85" t="s">
        <v>198</v>
      </c>
      <c r="D85" t="s">
        <v>199</v>
      </c>
      <c r="F85">
        <v>15</v>
      </c>
      <c r="G85" t="s">
        <v>24</v>
      </c>
      <c r="H85" s="1">
        <v>45721.845833333333</v>
      </c>
      <c r="I85" t="str">
        <f>"0199174"</f>
        <v>0199174</v>
      </c>
      <c r="J85">
        <v>2265</v>
      </c>
      <c r="K85" t="str">
        <f>"0526"</f>
        <v>0526</v>
      </c>
      <c r="L85">
        <v>1</v>
      </c>
      <c r="M85" t="s">
        <v>25</v>
      </c>
      <c r="N85" t="s">
        <v>200</v>
      </c>
      <c r="Q85" t="s">
        <v>27</v>
      </c>
      <c r="R85" t="s">
        <v>28</v>
      </c>
      <c r="T85">
        <v>49143309</v>
      </c>
      <c r="U85">
        <v>86001302</v>
      </c>
      <c r="V85">
        <v>127480</v>
      </c>
    </row>
    <row r="86" spans="1:22" x14ac:dyDescent="0.2">
      <c r="A86" t="str">
        <f>"011617401"</f>
        <v>011617401</v>
      </c>
      <c r="B86" t="s">
        <v>186</v>
      </c>
      <c r="C86" t="s">
        <v>187</v>
      </c>
      <c r="D86" t="s">
        <v>188</v>
      </c>
      <c r="E86" t="s">
        <v>189</v>
      </c>
      <c r="F86">
        <v>100</v>
      </c>
      <c r="G86" t="s">
        <v>24</v>
      </c>
      <c r="H86" s="1">
        <v>45721.84652777778</v>
      </c>
      <c r="I86" t="str">
        <f>"0238907"</f>
        <v>0238907</v>
      </c>
      <c r="J86" t="str">
        <f>"0708"</f>
        <v>0708</v>
      </c>
      <c r="K86" t="str">
        <f>"0726"</f>
        <v>0726</v>
      </c>
      <c r="L86">
        <v>1</v>
      </c>
      <c r="M86" t="s">
        <v>25</v>
      </c>
      <c r="Q86" t="s">
        <v>27</v>
      </c>
      <c r="R86" t="s">
        <v>28</v>
      </c>
      <c r="T86">
        <v>49143383</v>
      </c>
      <c r="U86">
        <v>86001305</v>
      </c>
      <c r="V86">
        <v>127483</v>
      </c>
    </row>
    <row r="87" spans="1:22" x14ac:dyDescent="0.2">
      <c r="A87">
        <v>206833345</v>
      </c>
      <c r="B87" t="s">
        <v>190</v>
      </c>
      <c r="C87" t="s">
        <v>191</v>
      </c>
      <c r="D87" t="s">
        <v>192</v>
      </c>
      <c r="E87" t="s">
        <v>193</v>
      </c>
      <c r="F87">
        <v>70</v>
      </c>
      <c r="G87" t="s">
        <v>24</v>
      </c>
      <c r="H87" s="1">
        <v>45721.84652777778</v>
      </c>
      <c r="I87">
        <v>2212490</v>
      </c>
      <c r="J87">
        <v>7203</v>
      </c>
      <c r="K87" t="str">
        <f>"0829"</f>
        <v>0829</v>
      </c>
      <c r="L87">
        <v>1</v>
      </c>
      <c r="M87" t="s">
        <v>25</v>
      </c>
      <c r="N87" t="s">
        <v>194</v>
      </c>
      <c r="Q87" t="s">
        <v>46</v>
      </c>
      <c r="R87" t="s">
        <v>28</v>
      </c>
      <c r="T87">
        <v>49143342</v>
      </c>
      <c r="U87">
        <v>86001304</v>
      </c>
      <c r="V87">
        <v>127482</v>
      </c>
    </row>
    <row r="88" spans="1:22" x14ac:dyDescent="0.2">
      <c r="A88">
        <v>327530366</v>
      </c>
      <c r="B88" t="s">
        <v>185</v>
      </c>
      <c r="F88">
        <v>200</v>
      </c>
      <c r="G88" t="s">
        <v>24</v>
      </c>
      <c r="H88" s="1">
        <v>45721.847222222219</v>
      </c>
      <c r="I88">
        <v>99889</v>
      </c>
      <c r="J88">
        <v>8941</v>
      </c>
      <c r="K88">
        <v>1127</v>
      </c>
      <c r="L88">
        <v>1</v>
      </c>
      <c r="M88" t="s">
        <v>25</v>
      </c>
      <c r="N88" t="s">
        <v>185</v>
      </c>
      <c r="Q88" t="s">
        <v>27</v>
      </c>
      <c r="R88" t="s">
        <v>28</v>
      </c>
      <c r="T88">
        <v>49143414</v>
      </c>
      <c r="U88">
        <v>86001306</v>
      </c>
      <c r="V88">
        <v>127484</v>
      </c>
    </row>
    <row r="89" spans="1:22" x14ac:dyDescent="0.2">
      <c r="A89">
        <v>329190706</v>
      </c>
      <c r="B89" t="s">
        <v>184</v>
      </c>
      <c r="F89">
        <v>50</v>
      </c>
      <c r="G89" t="s">
        <v>24</v>
      </c>
      <c r="H89" s="1">
        <v>45721.847916666666</v>
      </c>
      <c r="I89">
        <v>2224504</v>
      </c>
      <c r="J89">
        <v>3752</v>
      </c>
      <c r="K89" t="str">
        <f>"0729"</f>
        <v>0729</v>
      </c>
      <c r="L89">
        <v>1</v>
      </c>
      <c r="M89" t="s">
        <v>25</v>
      </c>
      <c r="N89" t="s">
        <v>151</v>
      </c>
      <c r="Q89" t="s">
        <v>27</v>
      </c>
      <c r="R89" t="s">
        <v>28</v>
      </c>
      <c r="T89">
        <v>49143458</v>
      </c>
      <c r="U89">
        <v>86001307</v>
      </c>
      <c r="V89">
        <v>127485</v>
      </c>
    </row>
    <row r="90" spans="1:22" x14ac:dyDescent="0.2">
      <c r="A90" t="str">
        <f>"056491533"</f>
        <v>056491533</v>
      </c>
      <c r="B90" t="s">
        <v>182</v>
      </c>
      <c r="F90">
        <v>100</v>
      </c>
      <c r="G90" t="s">
        <v>24</v>
      </c>
      <c r="H90" s="1">
        <v>45721.848611111112</v>
      </c>
      <c r="I90">
        <v>2229242</v>
      </c>
      <c r="J90">
        <v>5045</v>
      </c>
      <c r="K90" t="str">
        <f>"0627"</f>
        <v>0627</v>
      </c>
      <c r="L90">
        <v>1</v>
      </c>
      <c r="M90" t="s">
        <v>25</v>
      </c>
      <c r="N90" t="s">
        <v>183</v>
      </c>
      <c r="Q90" t="s">
        <v>46</v>
      </c>
      <c r="R90" t="s">
        <v>28</v>
      </c>
      <c r="T90">
        <v>49143492</v>
      </c>
      <c r="U90">
        <v>86001308</v>
      </c>
      <c r="V90">
        <v>127486</v>
      </c>
    </row>
    <row r="91" spans="1:22" x14ac:dyDescent="0.2">
      <c r="A91">
        <v>329225874</v>
      </c>
      <c r="B91" t="s">
        <v>177</v>
      </c>
      <c r="F91">
        <v>150</v>
      </c>
      <c r="G91" t="s">
        <v>24</v>
      </c>
      <c r="H91" s="1">
        <v>45721.849305555559</v>
      </c>
      <c r="I91">
        <v>2236002</v>
      </c>
      <c r="J91">
        <v>9911</v>
      </c>
      <c r="K91" t="str">
        <f>"0330"</f>
        <v>0330</v>
      </c>
      <c r="L91">
        <v>1</v>
      </c>
      <c r="M91" t="s">
        <v>25</v>
      </c>
      <c r="N91" t="s">
        <v>116</v>
      </c>
      <c r="Q91" t="s">
        <v>27</v>
      </c>
      <c r="R91" t="s">
        <v>28</v>
      </c>
      <c r="T91">
        <v>49143541</v>
      </c>
      <c r="U91">
        <v>86001311</v>
      </c>
      <c r="V91">
        <v>127488</v>
      </c>
    </row>
    <row r="92" spans="1:22" x14ac:dyDescent="0.2">
      <c r="A92">
        <v>319157392</v>
      </c>
      <c r="B92" t="s">
        <v>178</v>
      </c>
      <c r="F92">
        <v>36</v>
      </c>
      <c r="G92" t="s">
        <v>24</v>
      </c>
      <c r="H92" s="1">
        <v>45721.849305555559</v>
      </c>
      <c r="I92">
        <v>2235032</v>
      </c>
      <c r="J92">
        <v>4933</v>
      </c>
      <c r="K92" t="str">
        <f>"0830"</f>
        <v>0830</v>
      </c>
      <c r="L92">
        <v>1</v>
      </c>
      <c r="M92" t="s">
        <v>25</v>
      </c>
      <c r="N92" t="s">
        <v>179</v>
      </c>
      <c r="Q92" t="s">
        <v>46</v>
      </c>
      <c r="R92" t="s">
        <v>28</v>
      </c>
      <c r="T92">
        <v>49143531</v>
      </c>
      <c r="U92">
        <v>86001310</v>
      </c>
      <c r="V92">
        <v>127487</v>
      </c>
    </row>
    <row r="93" spans="1:22" x14ac:dyDescent="0.2">
      <c r="B93" t="str">
        <f>"0775323322"</f>
        <v>0775323322</v>
      </c>
      <c r="D93" t="s">
        <v>180</v>
      </c>
      <c r="F93">
        <v>30</v>
      </c>
      <c r="G93" t="s">
        <v>24</v>
      </c>
      <c r="H93" s="1">
        <v>45721.849305555559</v>
      </c>
      <c r="I93">
        <v>5069</v>
      </c>
      <c r="J93">
        <v>3149</v>
      </c>
      <c r="K93" t="str">
        <f>"0729"</f>
        <v>0729</v>
      </c>
      <c r="L93">
        <v>1</v>
      </c>
      <c r="N93" t="s">
        <v>181</v>
      </c>
      <c r="Q93" t="s">
        <v>27</v>
      </c>
      <c r="R93" t="s">
        <v>28</v>
      </c>
      <c r="T93">
        <v>49143525</v>
      </c>
      <c r="U93">
        <v>86001309</v>
      </c>
    </row>
    <row r="94" spans="1:22" x14ac:dyDescent="0.2">
      <c r="A94">
        <v>566827105</v>
      </c>
      <c r="B94" t="s">
        <v>174</v>
      </c>
      <c r="D94" t="s">
        <v>175</v>
      </c>
      <c r="E94" t="s">
        <v>176</v>
      </c>
      <c r="F94">
        <v>20</v>
      </c>
      <c r="G94" t="s">
        <v>24</v>
      </c>
      <c r="H94" s="1">
        <v>45721.85</v>
      </c>
      <c r="I94" t="str">
        <f>"0352740"</f>
        <v>0352740</v>
      </c>
      <c r="J94" t="str">
        <f>"0773"</f>
        <v>0773</v>
      </c>
      <c r="K94" t="str">
        <f>"0326"</f>
        <v>0326</v>
      </c>
      <c r="L94">
        <v>1</v>
      </c>
      <c r="M94" t="s">
        <v>25</v>
      </c>
      <c r="N94" t="s">
        <v>63</v>
      </c>
      <c r="Q94" t="s">
        <v>27</v>
      </c>
      <c r="R94" t="s">
        <v>28</v>
      </c>
      <c r="T94">
        <v>49143571</v>
      </c>
      <c r="U94">
        <v>86001312</v>
      </c>
      <c r="V94">
        <v>127489</v>
      </c>
    </row>
    <row r="95" spans="1:22" x14ac:dyDescent="0.2">
      <c r="A95" t="str">
        <f>"033860214"</f>
        <v>033860214</v>
      </c>
      <c r="B95" t="s">
        <v>169</v>
      </c>
      <c r="E95" t="s">
        <v>170</v>
      </c>
      <c r="F95">
        <v>50</v>
      </c>
      <c r="G95" t="s">
        <v>24</v>
      </c>
      <c r="H95" s="1">
        <v>45721.850694444445</v>
      </c>
      <c r="I95" t="str">
        <f>"0366625"</f>
        <v>0366625</v>
      </c>
      <c r="J95">
        <v>3697</v>
      </c>
      <c r="K95" t="str">
        <f>"0929"</f>
        <v>0929</v>
      </c>
      <c r="L95">
        <v>1</v>
      </c>
      <c r="M95" t="s">
        <v>25</v>
      </c>
      <c r="N95" t="s">
        <v>171</v>
      </c>
      <c r="Q95" t="s">
        <v>46</v>
      </c>
      <c r="R95" t="s">
        <v>28</v>
      </c>
      <c r="T95">
        <v>49143601</v>
      </c>
      <c r="U95">
        <v>86001314</v>
      </c>
      <c r="V95">
        <v>127491</v>
      </c>
    </row>
    <row r="96" spans="1:22" x14ac:dyDescent="0.2">
      <c r="A96">
        <v>306909300</v>
      </c>
      <c r="B96" t="s">
        <v>172</v>
      </c>
      <c r="F96">
        <v>50</v>
      </c>
      <c r="G96" t="s">
        <v>24</v>
      </c>
      <c r="H96" s="1">
        <v>45721.850694444445</v>
      </c>
      <c r="I96">
        <v>7914</v>
      </c>
      <c r="J96">
        <v>9527</v>
      </c>
      <c r="K96">
        <v>1228</v>
      </c>
      <c r="L96">
        <v>1</v>
      </c>
      <c r="M96" t="s">
        <v>25</v>
      </c>
      <c r="N96" t="s">
        <v>173</v>
      </c>
      <c r="Q96" t="s">
        <v>27</v>
      </c>
      <c r="R96" t="s">
        <v>28</v>
      </c>
      <c r="T96">
        <v>49143589</v>
      </c>
      <c r="U96">
        <v>86001313</v>
      </c>
      <c r="V96">
        <v>127490</v>
      </c>
    </row>
    <row r="97" spans="1:22" x14ac:dyDescent="0.2">
      <c r="B97" t="s">
        <v>162</v>
      </c>
      <c r="F97">
        <v>336.1</v>
      </c>
      <c r="G97" t="s">
        <v>24</v>
      </c>
      <c r="H97" s="1">
        <v>45721.851388888892</v>
      </c>
      <c r="I97">
        <v>280440</v>
      </c>
      <c r="J97">
        <v>7630</v>
      </c>
      <c r="K97" t="str">
        <f>"0327"</f>
        <v>0327</v>
      </c>
      <c r="L97">
        <v>1</v>
      </c>
      <c r="M97" t="s">
        <v>25</v>
      </c>
      <c r="N97" t="s">
        <v>162</v>
      </c>
      <c r="Q97" t="s">
        <v>27</v>
      </c>
      <c r="R97" t="s">
        <v>28</v>
      </c>
      <c r="T97">
        <v>49143697</v>
      </c>
      <c r="U97">
        <v>86001317</v>
      </c>
      <c r="V97">
        <v>127494</v>
      </c>
    </row>
    <row r="98" spans="1:22" x14ac:dyDescent="0.2">
      <c r="A98">
        <v>203955257</v>
      </c>
      <c r="B98" t="s">
        <v>163</v>
      </c>
      <c r="F98">
        <v>20</v>
      </c>
      <c r="G98" t="s">
        <v>24</v>
      </c>
      <c r="H98" s="1">
        <v>45721.851388888892</v>
      </c>
      <c r="I98">
        <v>11118</v>
      </c>
      <c r="J98">
        <v>1020</v>
      </c>
      <c r="K98">
        <v>1230</v>
      </c>
      <c r="L98">
        <v>1</v>
      </c>
      <c r="M98" t="s">
        <v>25</v>
      </c>
      <c r="N98" t="s">
        <v>39</v>
      </c>
      <c r="Q98" t="s">
        <v>27</v>
      </c>
      <c r="R98" t="s">
        <v>28</v>
      </c>
      <c r="T98">
        <v>49143690</v>
      </c>
      <c r="U98">
        <v>86001316</v>
      </c>
      <c r="V98">
        <v>127493</v>
      </c>
    </row>
    <row r="99" spans="1:22" x14ac:dyDescent="0.2">
      <c r="A99">
        <v>324216878</v>
      </c>
      <c r="B99" t="s">
        <v>164</v>
      </c>
      <c r="C99" t="s">
        <v>165</v>
      </c>
      <c r="D99" t="s">
        <v>166</v>
      </c>
      <c r="E99" t="s">
        <v>167</v>
      </c>
      <c r="F99">
        <v>50</v>
      </c>
      <c r="G99" t="s">
        <v>24</v>
      </c>
      <c r="H99" s="1">
        <v>45721.851388888892</v>
      </c>
      <c r="I99">
        <v>2251910</v>
      </c>
      <c r="J99">
        <v>5632</v>
      </c>
      <c r="K99" t="str">
        <f>"0429"</f>
        <v>0429</v>
      </c>
      <c r="L99">
        <v>1</v>
      </c>
      <c r="M99" t="s">
        <v>25</v>
      </c>
      <c r="N99" t="s">
        <v>168</v>
      </c>
      <c r="Q99" t="s">
        <v>46</v>
      </c>
      <c r="R99" t="s">
        <v>28</v>
      </c>
      <c r="T99">
        <v>49143671</v>
      </c>
      <c r="U99">
        <v>86001315</v>
      </c>
      <c r="V99">
        <v>127492</v>
      </c>
    </row>
    <row r="100" spans="1:22" x14ac:dyDescent="0.2">
      <c r="A100" t="str">
        <f>"036910313"</f>
        <v>036910313</v>
      </c>
      <c r="B100" t="s">
        <v>152</v>
      </c>
      <c r="C100" t="s">
        <v>153</v>
      </c>
      <c r="D100" t="s">
        <v>154</v>
      </c>
      <c r="E100" t="s">
        <v>155</v>
      </c>
      <c r="F100">
        <v>10</v>
      </c>
      <c r="G100" t="s">
        <v>24</v>
      </c>
      <c r="H100" s="1">
        <v>45721.852083333331</v>
      </c>
      <c r="I100" t="str">
        <f>"0428052"</f>
        <v>0428052</v>
      </c>
      <c r="J100">
        <v>8043</v>
      </c>
      <c r="K100">
        <v>1230</v>
      </c>
      <c r="L100">
        <v>1</v>
      </c>
      <c r="M100" t="s">
        <v>25</v>
      </c>
      <c r="N100" t="s">
        <v>156</v>
      </c>
      <c r="Q100" t="s">
        <v>27</v>
      </c>
      <c r="R100" t="s">
        <v>28</v>
      </c>
      <c r="T100">
        <v>49143724</v>
      </c>
      <c r="U100">
        <v>86001319</v>
      </c>
      <c r="V100">
        <v>127496</v>
      </c>
    </row>
    <row r="101" spans="1:22" x14ac:dyDescent="0.2">
      <c r="A101">
        <v>325570059</v>
      </c>
      <c r="B101" t="s">
        <v>157</v>
      </c>
      <c r="C101" t="s">
        <v>158</v>
      </c>
      <c r="D101" t="s">
        <v>159</v>
      </c>
      <c r="E101" t="s">
        <v>160</v>
      </c>
      <c r="F101">
        <v>100</v>
      </c>
      <c r="G101" t="s">
        <v>24</v>
      </c>
      <c r="H101" s="1">
        <v>45721.852083333331</v>
      </c>
      <c r="I101">
        <v>2254689</v>
      </c>
      <c r="J101">
        <v>5893</v>
      </c>
      <c r="K101" t="str">
        <f>"0227"</f>
        <v>0227</v>
      </c>
      <c r="L101">
        <v>1</v>
      </c>
      <c r="M101" t="s">
        <v>25</v>
      </c>
      <c r="N101" t="s">
        <v>161</v>
      </c>
      <c r="Q101" t="s">
        <v>46</v>
      </c>
      <c r="R101" t="s">
        <v>28</v>
      </c>
      <c r="T101">
        <v>49143704</v>
      </c>
      <c r="U101">
        <v>86001318</v>
      </c>
      <c r="V101">
        <v>127495</v>
      </c>
    </row>
    <row r="102" spans="1:22" x14ac:dyDescent="0.2">
      <c r="A102">
        <v>325002830</v>
      </c>
      <c r="B102" t="s">
        <v>144</v>
      </c>
      <c r="F102">
        <v>220</v>
      </c>
      <c r="G102" t="s">
        <v>24</v>
      </c>
      <c r="H102" s="1">
        <v>45721.852777777778</v>
      </c>
      <c r="I102">
        <v>14429</v>
      </c>
      <c r="J102">
        <v>8449</v>
      </c>
      <c r="K102" t="str">
        <f>"0827"</f>
        <v>0827</v>
      </c>
      <c r="L102">
        <v>1</v>
      </c>
      <c r="M102" t="s">
        <v>25</v>
      </c>
      <c r="N102" t="s">
        <v>116</v>
      </c>
      <c r="Q102" t="s">
        <v>27</v>
      </c>
      <c r="R102" t="s">
        <v>28</v>
      </c>
      <c r="T102">
        <v>49143778</v>
      </c>
      <c r="U102">
        <v>86001321</v>
      </c>
      <c r="V102">
        <v>127499</v>
      </c>
    </row>
    <row r="103" spans="1:22" x14ac:dyDescent="0.2">
      <c r="A103">
        <v>216079921</v>
      </c>
      <c r="B103" t="s">
        <v>145</v>
      </c>
      <c r="C103" t="s">
        <v>146</v>
      </c>
      <c r="D103" t="s">
        <v>147</v>
      </c>
      <c r="E103" t="s">
        <v>148</v>
      </c>
      <c r="F103">
        <v>20</v>
      </c>
      <c r="G103" t="s">
        <v>24</v>
      </c>
      <c r="H103" s="1">
        <v>45721.852777777778</v>
      </c>
      <c r="I103" t="str">
        <f>"0000000"</f>
        <v>0000000</v>
      </c>
      <c r="J103">
        <v>7762</v>
      </c>
      <c r="L103">
        <v>1</v>
      </c>
      <c r="M103" t="s">
        <v>25</v>
      </c>
      <c r="N103" t="s">
        <v>149</v>
      </c>
      <c r="Q103" t="s">
        <v>134</v>
      </c>
      <c r="R103">
        <v>30</v>
      </c>
      <c r="T103">
        <v>49143777</v>
      </c>
      <c r="V103">
        <v>127498</v>
      </c>
    </row>
    <row r="104" spans="1:22" x14ac:dyDescent="0.2">
      <c r="A104">
        <v>328517958</v>
      </c>
      <c r="B104" t="s">
        <v>150</v>
      </c>
      <c r="F104">
        <v>30</v>
      </c>
      <c r="G104" t="s">
        <v>24</v>
      </c>
      <c r="H104" s="1">
        <v>45721.852777777778</v>
      </c>
      <c r="I104">
        <v>2261182</v>
      </c>
      <c r="J104">
        <v>4239</v>
      </c>
      <c r="K104" t="str">
        <f>"0630"</f>
        <v>0630</v>
      </c>
      <c r="L104">
        <v>1</v>
      </c>
      <c r="M104" t="s">
        <v>25</v>
      </c>
      <c r="N104" t="s">
        <v>151</v>
      </c>
      <c r="Q104" t="s">
        <v>46</v>
      </c>
      <c r="R104" t="s">
        <v>28</v>
      </c>
      <c r="T104">
        <v>49143762</v>
      </c>
      <c r="U104">
        <v>86001320</v>
      </c>
      <c r="V104">
        <v>127497</v>
      </c>
    </row>
    <row r="105" spans="1:22" x14ac:dyDescent="0.2">
      <c r="A105">
        <v>347724551</v>
      </c>
      <c r="B105" t="s">
        <v>140</v>
      </c>
      <c r="C105" t="s">
        <v>141</v>
      </c>
      <c r="D105" t="s">
        <v>142</v>
      </c>
      <c r="E105" t="s">
        <v>143</v>
      </c>
      <c r="F105">
        <v>250</v>
      </c>
      <c r="G105" t="s">
        <v>24</v>
      </c>
      <c r="H105" s="1">
        <v>45721.853472222225</v>
      </c>
      <c r="I105">
        <v>15123</v>
      </c>
      <c r="J105">
        <v>4349</v>
      </c>
      <c r="K105" t="str">
        <f>"0128"</f>
        <v>0128</v>
      </c>
      <c r="L105">
        <v>1</v>
      </c>
      <c r="M105" t="s">
        <v>25</v>
      </c>
      <c r="Q105" t="s">
        <v>27</v>
      </c>
      <c r="R105" t="s">
        <v>28</v>
      </c>
      <c r="T105">
        <v>49143789</v>
      </c>
      <c r="U105">
        <v>86001322</v>
      </c>
      <c r="V105">
        <v>127500</v>
      </c>
    </row>
    <row r="106" spans="1:22" x14ac:dyDescent="0.2">
      <c r="A106">
        <v>338125024</v>
      </c>
      <c r="B106" t="s">
        <v>135</v>
      </c>
      <c r="C106" t="s">
        <v>136</v>
      </c>
      <c r="D106" t="s">
        <v>137</v>
      </c>
      <c r="E106" t="s">
        <v>138</v>
      </c>
      <c r="F106">
        <v>50</v>
      </c>
      <c r="G106" t="s">
        <v>24</v>
      </c>
      <c r="H106" s="1">
        <v>45721.854166666664</v>
      </c>
      <c r="I106">
        <v>2272942</v>
      </c>
      <c r="J106">
        <v>2950</v>
      </c>
      <c r="K106" t="str">
        <f>"0829"</f>
        <v>0829</v>
      </c>
      <c r="L106">
        <v>1</v>
      </c>
      <c r="M106" t="s">
        <v>25</v>
      </c>
      <c r="N106" t="s">
        <v>139</v>
      </c>
      <c r="Q106" t="s">
        <v>27</v>
      </c>
      <c r="R106" t="s">
        <v>28</v>
      </c>
      <c r="T106">
        <v>49143839</v>
      </c>
      <c r="U106">
        <v>86001323</v>
      </c>
      <c r="V106">
        <v>127501</v>
      </c>
    </row>
    <row r="107" spans="1:22" x14ac:dyDescent="0.2">
      <c r="B107" t="s">
        <v>127</v>
      </c>
      <c r="F107">
        <v>200</v>
      </c>
      <c r="G107" t="s">
        <v>24</v>
      </c>
      <c r="H107" s="1">
        <v>45721.855555555558</v>
      </c>
      <c r="I107">
        <v>2282312</v>
      </c>
      <c r="J107">
        <v>7610</v>
      </c>
      <c r="K107" t="str">
        <f>"0130"</f>
        <v>0130</v>
      </c>
      <c r="L107">
        <v>1</v>
      </c>
      <c r="M107" t="s">
        <v>25</v>
      </c>
      <c r="N107" t="s">
        <v>67</v>
      </c>
      <c r="Q107" t="s">
        <v>128</v>
      </c>
      <c r="R107" t="s">
        <v>28</v>
      </c>
      <c r="T107">
        <v>49143935</v>
      </c>
      <c r="U107">
        <v>86001324</v>
      </c>
      <c r="V107">
        <v>127503</v>
      </c>
    </row>
    <row r="108" spans="1:22" x14ac:dyDescent="0.2">
      <c r="A108">
        <v>214938037</v>
      </c>
      <c r="B108" t="s">
        <v>129</v>
      </c>
      <c r="C108" t="s">
        <v>130</v>
      </c>
      <c r="D108" t="s">
        <v>131</v>
      </c>
      <c r="E108" t="s">
        <v>132</v>
      </c>
      <c r="F108">
        <v>250</v>
      </c>
      <c r="G108" t="s">
        <v>24</v>
      </c>
      <c r="H108" s="1">
        <v>45721.855555555558</v>
      </c>
      <c r="I108" t="str">
        <f>"0000000"</f>
        <v>0000000</v>
      </c>
      <c r="J108">
        <v>9407</v>
      </c>
      <c r="L108">
        <v>1</v>
      </c>
      <c r="M108" t="s">
        <v>25</v>
      </c>
      <c r="N108" t="s">
        <v>133</v>
      </c>
      <c r="Q108" t="s">
        <v>134</v>
      </c>
      <c r="R108">
        <v>30</v>
      </c>
      <c r="T108">
        <v>49143925</v>
      </c>
      <c r="V108">
        <v>127502</v>
      </c>
    </row>
    <row r="109" spans="1:22" x14ac:dyDescent="0.2">
      <c r="A109" t="str">
        <f>"011235231"</f>
        <v>011235231</v>
      </c>
      <c r="B109" t="s">
        <v>122</v>
      </c>
      <c r="C109" t="s">
        <v>123</v>
      </c>
      <c r="D109" t="s">
        <v>124</v>
      </c>
      <c r="E109" t="s">
        <v>125</v>
      </c>
      <c r="F109">
        <v>100</v>
      </c>
      <c r="G109" t="s">
        <v>24</v>
      </c>
      <c r="H109" s="1">
        <v>45721.856249999997</v>
      </c>
      <c r="I109">
        <v>2284925</v>
      </c>
      <c r="J109">
        <v>1159</v>
      </c>
      <c r="K109" t="str">
        <f>"0129"</f>
        <v>0129</v>
      </c>
      <c r="L109">
        <v>1</v>
      </c>
      <c r="M109" t="s">
        <v>25</v>
      </c>
      <c r="N109" t="s">
        <v>126</v>
      </c>
      <c r="Q109" t="s">
        <v>46</v>
      </c>
      <c r="R109" t="s">
        <v>28</v>
      </c>
      <c r="T109">
        <v>49143952</v>
      </c>
      <c r="U109">
        <v>86001325</v>
      </c>
      <c r="V109">
        <v>127504</v>
      </c>
    </row>
    <row r="110" spans="1:22" x14ac:dyDescent="0.2">
      <c r="A110">
        <v>300058120</v>
      </c>
      <c r="B110" t="s">
        <v>117</v>
      </c>
      <c r="C110" t="s">
        <v>118</v>
      </c>
      <c r="D110" t="s">
        <v>119</v>
      </c>
      <c r="E110" t="s">
        <v>120</v>
      </c>
      <c r="F110">
        <v>20</v>
      </c>
      <c r="G110" t="s">
        <v>24</v>
      </c>
      <c r="H110" s="1">
        <v>45721.856944444444</v>
      </c>
      <c r="I110">
        <v>2290645</v>
      </c>
      <c r="J110" t="str">
        <f>"0025"</f>
        <v>0025</v>
      </c>
      <c r="K110">
        <v>1226</v>
      </c>
      <c r="L110">
        <v>1</v>
      </c>
      <c r="M110" t="s">
        <v>25</v>
      </c>
      <c r="O110" t="s">
        <v>121</v>
      </c>
      <c r="P110">
        <v>7468</v>
      </c>
      <c r="Q110" t="s">
        <v>46</v>
      </c>
      <c r="R110" t="s">
        <v>28</v>
      </c>
      <c r="T110">
        <v>49144012</v>
      </c>
      <c r="U110">
        <v>86001326</v>
      </c>
      <c r="V110">
        <v>127505</v>
      </c>
    </row>
    <row r="111" spans="1:22" x14ac:dyDescent="0.2">
      <c r="A111">
        <v>347288276</v>
      </c>
      <c r="B111" t="s">
        <v>115</v>
      </c>
      <c r="F111">
        <v>100</v>
      </c>
      <c r="G111" t="s">
        <v>24</v>
      </c>
      <c r="H111" s="1">
        <v>45721.857638888891</v>
      </c>
      <c r="I111">
        <v>2295881</v>
      </c>
      <c r="J111">
        <v>4619</v>
      </c>
      <c r="K111">
        <v>1129</v>
      </c>
      <c r="L111">
        <v>1</v>
      </c>
      <c r="M111" t="s">
        <v>25</v>
      </c>
      <c r="N111" t="s">
        <v>116</v>
      </c>
      <c r="Q111" t="s">
        <v>46</v>
      </c>
      <c r="R111" t="s">
        <v>28</v>
      </c>
      <c r="T111">
        <v>49144057</v>
      </c>
      <c r="U111">
        <v>86001327</v>
      </c>
      <c r="V111">
        <v>127506</v>
      </c>
    </row>
    <row r="112" spans="1:22" x14ac:dyDescent="0.2">
      <c r="A112">
        <v>304063324</v>
      </c>
      <c r="B112" t="s">
        <v>109</v>
      </c>
      <c r="F112">
        <v>500</v>
      </c>
      <c r="G112" t="s">
        <v>24</v>
      </c>
      <c r="H112" s="1">
        <v>45721.85833333333</v>
      </c>
      <c r="I112">
        <v>2302788</v>
      </c>
      <c r="J112">
        <v>8362</v>
      </c>
      <c r="K112">
        <v>1130</v>
      </c>
      <c r="L112">
        <v>1</v>
      </c>
      <c r="M112" t="s">
        <v>25</v>
      </c>
      <c r="N112" t="s">
        <v>110</v>
      </c>
      <c r="Q112" t="s">
        <v>46</v>
      </c>
      <c r="R112" t="s">
        <v>28</v>
      </c>
      <c r="T112">
        <v>49144107</v>
      </c>
      <c r="U112">
        <v>86001329</v>
      </c>
      <c r="V112">
        <v>127508</v>
      </c>
    </row>
    <row r="113" spans="1:22" x14ac:dyDescent="0.2">
      <c r="A113">
        <v>212826713</v>
      </c>
      <c r="B113" t="s">
        <v>111</v>
      </c>
      <c r="C113" t="s">
        <v>112</v>
      </c>
      <c r="D113" t="s">
        <v>113</v>
      </c>
      <c r="E113" t="s">
        <v>114</v>
      </c>
      <c r="F113">
        <v>70</v>
      </c>
      <c r="G113" t="s">
        <v>24</v>
      </c>
      <c r="H113" s="1">
        <v>45721.85833333333</v>
      </c>
      <c r="I113">
        <v>26434</v>
      </c>
      <c r="J113">
        <v>3323</v>
      </c>
      <c r="K113" t="str">
        <f>"0231"</f>
        <v>0231</v>
      </c>
      <c r="L113">
        <v>1</v>
      </c>
      <c r="M113" t="s">
        <v>25</v>
      </c>
      <c r="Q113" t="s">
        <v>27</v>
      </c>
      <c r="R113" t="s">
        <v>28</v>
      </c>
      <c r="T113">
        <v>49144076</v>
      </c>
      <c r="U113">
        <v>86001328</v>
      </c>
      <c r="V113">
        <v>127507</v>
      </c>
    </row>
    <row r="114" spans="1:22" x14ac:dyDescent="0.2">
      <c r="A114">
        <v>332527282</v>
      </c>
      <c r="B114" t="s">
        <v>105</v>
      </c>
      <c r="C114" t="s">
        <v>106</v>
      </c>
      <c r="D114" t="s">
        <v>107</v>
      </c>
      <c r="E114" t="s">
        <v>108</v>
      </c>
      <c r="F114">
        <v>120</v>
      </c>
      <c r="G114" t="s">
        <v>24</v>
      </c>
      <c r="H114" s="1">
        <v>45721.859722222223</v>
      </c>
      <c r="I114">
        <v>2312715</v>
      </c>
      <c r="J114">
        <v>1719</v>
      </c>
      <c r="K114" t="str">
        <f>"0830"</f>
        <v>0830</v>
      </c>
      <c r="L114">
        <v>1</v>
      </c>
      <c r="M114" t="s">
        <v>25</v>
      </c>
      <c r="Q114" t="s">
        <v>46</v>
      </c>
      <c r="R114" t="s">
        <v>28</v>
      </c>
      <c r="T114">
        <v>49144219</v>
      </c>
      <c r="U114">
        <v>86001330</v>
      </c>
      <c r="V114">
        <v>127509</v>
      </c>
    </row>
    <row r="115" spans="1:22" x14ac:dyDescent="0.2">
      <c r="B115" t="s">
        <v>92</v>
      </c>
      <c r="E115" t="s">
        <v>93</v>
      </c>
      <c r="F115">
        <v>560</v>
      </c>
      <c r="G115" t="s">
        <v>24</v>
      </c>
      <c r="H115" s="1">
        <v>45721.86041666667</v>
      </c>
      <c r="I115" t="str">
        <f>"0704528"</f>
        <v>0704528</v>
      </c>
      <c r="J115">
        <v>3261</v>
      </c>
      <c r="K115">
        <v>1027</v>
      </c>
      <c r="L115">
        <v>1</v>
      </c>
      <c r="M115" t="s">
        <v>25</v>
      </c>
      <c r="N115" t="s">
        <v>94</v>
      </c>
      <c r="Q115" t="s">
        <v>27</v>
      </c>
      <c r="R115" t="s">
        <v>28</v>
      </c>
      <c r="T115">
        <v>49144260</v>
      </c>
      <c r="U115">
        <v>86001334</v>
      </c>
      <c r="V115">
        <v>127513</v>
      </c>
    </row>
    <row r="116" spans="1:22" x14ac:dyDescent="0.2">
      <c r="A116" t="str">
        <f>"007179146"</f>
        <v>007179146</v>
      </c>
      <c r="B116" t="s">
        <v>95</v>
      </c>
      <c r="F116">
        <v>200</v>
      </c>
      <c r="G116" t="s">
        <v>24</v>
      </c>
      <c r="H116" s="1">
        <v>45721.86041666667</v>
      </c>
      <c r="I116" t="str">
        <f>"0701755"</f>
        <v>0701755</v>
      </c>
      <c r="J116">
        <v>4085</v>
      </c>
      <c r="K116" t="str">
        <f>"0730"</f>
        <v>0730</v>
      </c>
      <c r="L116">
        <v>1</v>
      </c>
      <c r="M116" t="s">
        <v>25</v>
      </c>
      <c r="N116" t="s">
        <v>96</v>
      </c>
      <c r="Q116" t="s">
        <v>27</v>
      </c>
      <c r="R116" t="s">
        <v>28</v>
      </c>
      <c r="T116">
        <v>49144247</v>
      </c>
      <c r="U116">
        <v>86001333</v>
      </c>
      <c r="V116">
        <v>127512</v>
      </c>
    </row>
    <row r="117" spans="1:22" x14ac:dyDescent="0.2">
      <c r="A117">
        <v>207557778</v>
      </c>
      <c r="B117" t="s">
        <v>97</v>
      </c>
      <c r="C117" t="s">
        <v>98</v>
      </c>
      <c r="D117" t="s">
        <v>99</v>
      </c>
      <c r="E117" t="s">
        <v>100</v>
      </c>
      <c r="F117">
        <v>300</v>
      </c>
      <c r="G117" t="s">
        <v>24</v>
      </c>
      <c r="H117" s="1">
        <v>45721.86041666667</v>
      </c>
      <c r="I117" t="s">
        <v>101</v>
      </c>
      <c r="J117">
        <v>9378</v>
      </c>
      <c r="K117" t="str">
        <f>"0229"</f>
        <v>0229</v>
      </c>
      <c r="L117">
        <v>1</v>
      </c>
      <c r="M117" t="s">
        <v>25</v>
      </c>
      <c r="N117" t="s">
        <v>102</v>
      </c>
      <c r="Q117" t="s">
        <v>46</v>
      </c>
      <c r="R117" t="s">
        <v>28</v>
      </c>
      <c r="T117">
        <v>49144233</v>
      </c>
      <c r="U117">
        <v>86001332</v>
      </c>
      <c r="V117">
        <v>127511</v>
      </c>
    </row>
    <row r="118" spans="1:22" x14ac:dyDescent="0.2">
      <c r="A118">
        <v>345317176</v>
      </c>
      <c r="B118" t="s">
        <v>103</v>
      </c>
      <c r="F118">
        <v>300</v>
      </c>
      <c r="G118" t="s">
        <v>24</v>
      </c>
      <c r="H118" s="1">
        <v>45721.86041666667</v>
      </c>
      <c r="I118" t="str">
        <f>"0688119"</f>
        <v>0688119</v>
      </c>
      <c r="J118">
        <v>8711</v>
      </c>
      <c r="K118" t="str">
        <f>"0231"</f>
        <v>0231</v>
      </c>
      <c r="L118">
        <v>1</v>
      </c>
      <c r="M118" t="s">
        <v>25</v>
      </c>
      <c r="N118" t="s">
        <v>104</v>
      </c>
      <c r="Q118" t="s">
        <v>46</v>
      </c>
      <c r="R118" t="s">
        <v>28</v>
      </c>
      <c r="T118">
        <v>49144228</v>
      </c>
      <c r="U118">
        <v>86001331</v>
      </c>
      <c r="V118">
        <v>127510</v>
      </c>
    </row>
    <row r="119" spans="1:22" x14ac:dyDescent="0.2">
      <c r="B119" t="s">
        <v>91</v>
      </c>
      <c r="F119">
        <v>50</v>
      </c>
      <c r="G119" t="s">
        <v>24</v>
      </c>
      <c r="H119" s="1">
        <v>45721.861111111109</v>
      </c>
      <c r="I119">
        <v>2318638</v>
      </c>
      <c r="J119">
        <v>9545</v>
      </c>
      <c r="K119">
        <v>1029</v>
      </c>
      <c r="L119">
        <v>1</v>
      </c>
      <c r="M119" t="s">
        <v>25</v>
      </c>
      <c r="N119" t="s">
        <v>37</v>
      </c>
      <c r="Q119" t="s">
        <v>46</v>
      </c>
      <c r="R119" t="s">
        <v>28</v>
      </c>
      <c r="T119">
        <v>49144270</v>
      </c>
      <c r="U119">
        <v>86001335</v>
      </c>
      <c r="V119">
        <v>127514</v>
      </c>
    </row>
    <row r="120" spans="1:22" x14ac:dyDescent="0.2">
      <c r="A120">
        <v>346255938</v>
      </c>
      <c r="B120" t="s">
        <v>88</v>
      </c>
      <c r="F120">
        <v>50</v>
      </c>
      <c r="G120" t="s">
        <v>24</v>
      </c>
      <c r="H120" s="1">
        <v>45721.861805555556</v>
      </c>
      <c r="I120">
        <v>2325270</v>
      </c>
      <c r="J120">
        <v>2395</v>
      </c>
      <c r="K120" t="str">
        <f>"0228"</f>
        <v>0228</v>
      </c>
      <c r="L120">
        <v>1</v>
      </c>
      <c r="M120" t="s">
        <v>25</v>
      </c>
      <c r="N120" t="s">
        <v>37</v>
      </c>
      <c r="Q120" t="s">
        <v>46</v>
      </c>
      <c r="R120" t="s">
        <v>28</v>
      </c>
      <c r="T120">
        <v>49144339</v>
      </c>
      <c r="U120">
        <v>86001337</v>
      </c>
      <c r="V120">
        <v>127516</v>
      </c>
    </row>
    <row r="121" spans="1:22" x14ac:dyDescent="0.2">
      <c r="A121">
        <v>207618687</v>
      </c>
      <c r="B121" t="s">
        <v>89</v>
      </c>
      <c r="F121">
        <v>70</v>
      </c>
      <c r="G121" t="s">
        <v>24</v>
      </c>
      <c r="H121" s="1">
        <v>45721.861805555556</v>
      </c>
      <c r="I121" t="str">
        <f>"0729913"</f>
        <v>0729913</v>
      </c>
      <c r="J121">
        <v>5608</v>
      </c>
      <c r="K121" t="str">
        <f>"0128"</f>
        <v>0128</v>
      </c>
      <c r="L121">
        <v>1</v>
      </c>
      <c r="M121" t="s">
        <v>25</v>
      </c>
      <c r="N121" t="s">
        <v>90</v>
      </c>
      <c r="Q121" t="s">
        <v>27</v>
      </c>
      <c r="R121" t="s">
        <v>28</v>
      </c>
      <c r="T121">
        <v>49144319</v>
      </c>
      <c r="U121">
        <v>86001336</v>
      </c>
      <c r="V121">
        <v>127515</v>
      </c>
    </row>
    <row r="122" spans="1:22" x14ac:dyDescent="0.2">
      <c r="A122" t="str">
        <f>"022624860"</f>
        <v>022624860</v>
      </c>
      <c r="B122" t="s">
        <v>84</v>
      </c>
      <c r="F122">
        <v>200</v>
      </c>
      <c r="G122" t="s">
        <v>24</v>
      </c>
      <c r="H122" s="1">
        <v>45721.862500000003</v>
      </c>
      <c r="I122">
        <v>2331169</v>
      </c>
      <c r="J122" t="str">
        <f>"0788"</f>
        <v>0788</v>
      </c>
      <c r="K122" t="str">
        <f>"0229"</f>
        <v>0229</v>
      </c>
      <c r="L122">
        <v>1</v>
      </c>
      <c r="M122" t="s">
        <v>25</v>
      </c>
      <c r="N122" t="s">
        <v>85</v>
      </c>
      <c r="Q122" t="s">
        <v>46</v>
      </c>
      <c r="R122" t="s">
        <v>28</v>
      </c>
      <c r="T122">
        <v>49144391</v>
      </c>
      <c r="U122">
        <v>86001339</v>
      </c>
      <c r="V122">
        <v>127518</v>
      </c>
    </row>
    <row r="123" spans="1:22" x14ac:dyDescent="0.2">
      <c r="A123">
        <v>318777976</v>
      </c>
      <c r="B123" t="s">
        <v>86</v>
      </c>
      <c r="F123">
        <v>35</v>
      </c>
      <c r="G123" t="s">
        <v>24</v>
      </c>
      <c r="H123" s="1">
        <v>45721.862500000003</v>
      </c>
      <c r="I123" t="str">
        <f>"0759027"</f>
        <v>0759027</v>
      </c>
      <c r="J123">
        <v>2683</v>
      </c>
      <c r="K123" t="str">
        <f>"0827"</f>
        <v>0827</v>
      </c>
      <c r="L123">
        <v>1</v>
      </c>
      <c r="M123" t="s">
        <v>25</v>
      </c>
      <c r="N123" t="s">
        <v>87</v>
      </c>
      <c r="Q123" t="s">
        <v>27</v>
      </c>
      <c r="R123" t="s">
        <v>28</v>
      </c>
      <c r="T123">
        <v>49144374</v>
      </c>
      <c r="U123">
        <v>86001338</v>
      </c>
      <c r="V123">
        <v>127517</v>
      </c>
    </row>
    <row r="124" spans="1:22" x14ac:dyDescent="0.2">
      <c r="A124">
        <v>329233308</v>
      </c>
      <c r="B124" t="s">
        <v>68</v>
      </c>
      <c r="C124" t="s">
        <v>69</v>
      </c>
      <c r="D124" t="s">
        <v>70</v>
      </c>
      <c r="E124" t="s">
        <v>71</v>
      </c>
      <c r="F124">
        <v>20</v>
      </c>
      <c r="G124" t="s">
        <v>24</v>
      </c>
      <c r="H124" s="1">
        <v>45721.863194444442</v>
      </c>
      <c r="I124">
        <v>2335854</v>
      </c>
      <c r="J124">
        <v>2892</v>
      </c>
      <c r="K124">
        <v>1230</v>
      </c>
      <c r="L124">
        <v>1</v>
      </c>
      <c r="M124" t="s">
        <v>25</v>
      </c>
      <c r="N124" t="s">
        <v>72</v>
      </c>
      <c r="Q124" t="s">
        <v>27</v>
      </c>
      <c r="R124" t="s">
        <v>28</v>
      </c>
      <c r="T124">
        <v>49144497</v>
      </c>
      <c r="U124">
        <v>86001342</v>
      </c>
      <c r="V124">
        <v>127520</v>
      </c>
    </row>
    <row r="125" spans="1:22" x14ac:dyDescent="0.2">
      <c r="A125">
        <v>314845462</v>
      </c>
      <c r="B125" t="s">
        <v>73</v>
      </c>
      <c r="C125" t="s">
        <v>74</v>
      </c>
      <c r="D125" t="s">
        <v>75</v>
      </c>
      <c r="E125" t="s">
        <v>76</v>
      </c>
      <c r="F125">
        <v>100</v>
      </c>
      <c r="G125" t="s">
        <v>24</v>
      </c>
      <c r="H125" s="1">
        <v>45721.863194444442</v>
      </c>
      <c r="I125" t="str">
        <f>"0781542"</f>
        <v>0781542</v>
      </c>
      <c r="J125">
        <v>6788</v>
      </c>
      <c r="K125" t="str">
        <f>"0725"</f>
        <v>0725</v>
      </c>
      <c r="L125">
        <v>1</v>
      </c>
      <c r="M125" t="s">
        <v>25</v>
      </c>
      <c r="N125" t="s">
        <v>77</v>
      </c>
      <c r="Q125" t="s">
        <v>27</v>
      </c>
      <c r="R125" t="s">
        <v>28</v>
      </c>
      <c r="T125">
        <v>49144462</v>
      </c>
      <c r="U125">
        <v>86001341</v>
      </c>
      <c r="V125">
        <v>127519</v>
      </c>
    </row>
    <row r="126" spans="1:22" x14ac:dyDescent="0.2">
      <c r="A126">
        <v>323777094</v>
      </c>
      <c r="B126" t="s">
        <v>78</v>
      </c>
      <c r="C126" t="s">
        <v>79</v>
      </c>
      <c r="D126" t="s">
        <v>80</v>
      </c>
      <c r="E126" t="s">
        <v>81</v>
      </c>
      <c r="F126">
        <v>50</v>
      </c>
      <c r="G126" t="s">
        <v>24</v>
      </c>
      <c r="H126" s="1">
        <v>45721.863194444442</v>
      </c>
      <c r="I126">
        <v>37265</v>
      </c>
      <c r="J126" t="str">
        <f>"0522"</f>
        <v>0522</v>
      </c>
      <c r="K126">
        <v>1229</v>
      </c>
      <c r="L126" t="s">
        <v>82</v>
      </c>
      <c r="M126" t="s">
        <v>25</v>
      </c>
      <c r="N126" t="s">
        <v>83</v>
      </c>
      <c r="Q126" t="s">
        <v>27</v>
      </c>
      <c r="R126" t="s">
        <v>28</v>
      </c>
      <c r="S126">
        <v>1672560</v>
      </c>
      <c r="T126">
        <v>49144419</v>
      </c>
      <c r="U126">
        <v>86001340</v>
      </c>
    </row>
    <row r="127" spans="1:22" x14ac:dyDescent="0.2">
      <c r="A127">
        <v>214094781</v>
      </c>
      <c r="B127" t="s">
        <v>64</v>
      </c>
      <c r="F127">
        <v>200</v>
      </c>
      <c r="G127" t="s">
        <v>24</v>
      </c>
      <c r="H127" s="1">
        <v>45721.863888888889</v>
      </c>
      <c r="I127">
        <v>2339047</v>
      </c>
      <c r="J127">
        <v>5149</v>
      </c>
      <c r="K127" t="str">
        <f>"0530"</f>
        <v>0530</v>
      </c>
      <c r="L127">
        <v>1</v>
      </c>
      <c r="M127" t="s">
        <v>25</v>
      </c>
      <c r="N127" t="s">
        <v>65</v>
      </c>
      <c r="Q127" t="s">
        <v>27</v>
      </c>
      <c r="R127" t="s">
        <v>28</v>
      </c>
      <c r="T127">
        <v>49144533</v>
      </c>
      <c r="U127">
        <v>86001344</v>
      </c>
      <c r="V127">
        <v>127522</v>
      </c>
    </row>
    <row r="128" spans="1:22" x14ac:dyDescent="0.2">
      <c r="A128" t="str">
        <f>"040175242"</f>
        <v>040175242</v>
      </c>
      <c r="B128" t="s">
        <v>66</v>
      </c>
      <c r="F128">
        <v>100</v>
      </c>
      <c r="G128" t="s">
        <v>24</v>
      </c>
      <c r="H128" s="1">
        <v>45721.863888888889</v>
      </c>
      <c r="I128">
        <v>2337359</v>
      </c>
      <c r="J128">
        <v>6975</v>
      </c>
      <c r="K128" t="str">
        <f>"0231"</f>
        <v>0231</v>
      </c>
      <c r="L128">
        <v>1</v>
      </c>
      <c r="M128" t="s">
        <v>25</v>
      </c>
      <c r="N128" t="s">
        <v>67</v>
      </c>
      <c r="Q128" t="s">
        <v>46</v>
      </c>
      <c r="R128" t="s">
        <v>28</v>
      </c>
      <c r="T128">
        <v>49144520</v>
      </c>
      <c r="U128">
        <v>86001343</v>
      </c>
      <c r="V128">
        <v>127521</v>
      </c>
    </row>
    <row r="129" spans="1:22" x14ac:dyDescent="0.2">
      <c r="A129">
        <v>317931533</v>
      </c>
      <c r="B129" t="s">
        <v>62</v>
      </c>
      <c r="F129">
        <v>50</v>
      </c>
      <c r="G129" t="s">
        <v>24</v>
      </c>
      <c r="H129" s="1">
        <v>45721.864583333336</v>
      </c>
      <c r="I129">
        <v>41181</v>
      </c>
      <c r="J129">
        <v>6647</v>
      </c>
      <c r="K129" t="str">
        <f>"0725"</f>
        <v>0725</v>
      </c>
      <c r="L129">
        <v>1</v>
      </c>
      <c r="M129" t="s">
        <v>25</v>
      </c>
      <c r="N129" t="s">
        <v>63</v>
      </c>
      <c r="Q129" t="s">
        <v>27</v>
      </c>
      <c r="R129" t="s">
        <v>28</v>
      </c>
      <c r="T129">
        <v>49144590</v>
      </c>
      <c r="U129">
        <v>86001345</v>
      </c>
      <c r="V129">
        <v>127523</v>
      </c>
    </row>
    <row r="130" spans="1:22" x14ac:dyDescent="0.2">
      <c r="A130" t="str">
        <f>"038949954"</f>
        <v>038949954</v>
      </c>
      <c r="B130" t="s">
        <v>51</v>
      </c>
      <c r="F130">
        <v>50</v>
      </c>
      <c r="G130" t="s">
        <v>24</v>
      </c>
      <c r="H130" s="1">
        <v>45721.865277777775</v>
      </c>
      <c r="I130" t="str">
        <f>"0843433"</f>
        <v>0843433</v>
      </c>
      <c r="J130">
        <v>8876</v>
      </c>
      <c r="K130">
        <v>1029</v>
      </c>
      <c r="L130">
        <v>1</v>
      </c>
      <c r="M130" t="s">
        <v>25</v>
      </c>
      <c r="N130" t="s">
        <v>52</v>
      </c>
      <c r="Q130" t="s">
        <v>27</v>
      </c>
      <c r="R130" t="s">
        <v>28</v>
      </c>
      <c r="T130">
        <v>49144611</v>
      </c>
      <c r="U130">
        <v>86001348</v>
      </c>
      <c r="V130">
        <v>127526</v>
      </c>
    </row>
    <row r="131" spans="1:22" x14ac:dyDescent="0.2">
      <c r="A131">
        <v>212831978</v>
      </c>
      <c r="B131" t="s">
        <v>53</v>
      </c>
      <c r="C131" t="s">
        <v>54</v>
      </c>
      <c r="D131" t="s">
        <v>55</v>
      </c>
      <c r="E131" t="s">
        <v>56</v>
      </c>
      <c r="F131">
        <v>100</v>
      </c>
      <c r="G131" t="s">
        <v>24</v>
      </c>
      <c r="H131" s="1">
        <v>45721.865277777775</v>
      </c>
      <c r="I131">
        <v>41765</v>
      </c>
      <c r="J131">
        <v>7940</v>
      </c>
      <c r="K131" t="str">
        <f>"0928"</f>
        <v>0928</v>
      </c>
      <c r="L131">
        <v>1</v>
      </c>
      <c r="M131" t="s">
        <v>25</v>
      </c>
      <c r="Q131" t="s">
        <v>27</v>
      </c>
      <c r="R131" t="s">
        <v>28</v>
      </c>
      <c r="T131">
        <v>49144604</v>
      </c>
      <c r="U131">
        <v>86001347</v>
      </c>
      <c r="V131">
        <v>127525</v>
      </c>
    </row>
    <row r="132" spans="1:22" x14ac:dyDescent="0.2">
      <c r="A132" t="str">
        <f>"043142538"</f>
        <v>043142538</v>
      </c>
      <c r="B132" t="s">
        <v>57</v>
      </c>
      <c r="C132" t="s">
        <v>58</v>
      </c>
      <c r="D132" t="s">
        <v>59</v>
      </c>
      <c r="E132" t="s">
        <v>60</v>
      </c>
      <c r="F132">
        <v>18</v>
      </c>
      <c r="G132" t="s">
        <v>24</v>
      </c>
      <c r="H132" s="1">
        <v>45721.865277777775</v>
      </c>
      <c r="I132">
        <v>2346864</v>
      </c>
      <c r="J132">
        <v>4342</v>
      </c>
      <c r="K132">
        <v>1226</v>
      </c>
      <c r="L132">
        <v>1</v>
      </c>
      <c r="M132" t="s">
        <v>25</v>
      </c>
      <c r="N132" t="s">
        <v>61</v>
      </c>
      <c r="Q132" t="s">
        <v>46</v>
      </c>
      <c r="R132" t="s">
        <v>28</v>
      </c>
      <c r="T132">
        <v>49144602</v>
      </c>
      <c r="U132">
        <v>86001346</v>
      </c>
      <c r="V132">
        <v>127524</v>
      </c>
    </row>
    <row r="133" spans="1:22" x14ac:dyDescent="0.2">
      <c r="B133" t="s">
        <v>49</v>
      </c>
      <c r="F133">
        <v>50</v>
      </c>
      <c r="G133" t="s">
        <v>24</v>
      </c>
      <c r="H133" s="1">
        <v>45721.865972222222</v>
      </c>
      <c r="I133" t="str">
        <f>"0864744"</f>
        <v>0864744</v>
      </c>
      <c r="J133">
        <v>7735</v>
      </c>
      <c r="K133" t="str">
        <f>"0127"</f>
        <v>0127</v>
      </c>
      <c r="L133">
        <v>1</v>
      </c>
      <c r="M133" t="s">
        <v>25</v>
      </c>
      <c r="N133" t="s">
        <v>50</v>
      </c>
      <c r="Q133" t="s">
        <v>27</v>
      </c>
      <c r="R133" t="s">
        <v>28</v>
      </c>
      <c r="T133">
        <v>49144677</v>
      </c>
      <c r="U133">
        <v>86001349</v>
      </c>
      <c r="V133">
        <v>127527</v>
      </c>
    </row>
    <row r="134" spans="1:22" x14ac:dyDescent="0.2">
      <c r="A134">
        <v>216577684</v>
      </c>
      <c r="B134" t="s">
        <v>47</v>
      </c>
      <c r="F134">
        <v>50</v>
      </c>
      <c r="G134" t="s">
        <v>24</v>
      </c>
      <c r="H134" s="1">
        <v>45721.867361111108</v>
      </c>
      <c r="I134">
        <v>2363874</v>
      </c>
      <c r="J134">
        <v>7939</v>
      </c>
      <c r="K134" t="str">
        <f>"0830"</f>
        <v>0830</v>
      </c>
      <c r="L134">
        <v>1</v>
      </c>
      <c r="M134" t="s">
        <v>25</v>
      </c>
      <c r="N134" t="s">
        <v>48</v>
      </c>
      <c r="Q134" t="s">
        <v>46</v>
      </c>
      <c r="R134" t="s">
        <v>28</v>
      </c>
      <c r="T134">
        <v>49144776</v>
      </c>
      <c r="U134">
        <v>86001350</v>
      </c>
      <c r="V134">
        <v>127528</v>
      </c>
    </row>
    <row r="135" spans="1:22" x14ac:dyDescent="0.2">
      <c r="A135">
        <v>317769578</v>
      </c>
      <c r="B135" t="s">
        <v>38</v>
      </c>
      <c r="F135">
        <v>100</v>
      </c>
      <c r="G135" t="s">
        <v>24</v>
      </c>
      <c r="H135" s="1">
        <v>45721.868750000001</v>
      </c>
      <c r="I135" t="str">
        <f>"0952697"</f>
        <v>0952697</v>
      </c>
      <c r="J135">
        <v>9149</v>
      </c>
      <c r="K135" t="str">
        <f>"0228"</f>
        <v>0228</v>
      </c>
      <c r="L135">
        <v>1</v>
      </c>
      <c r="M135" t="s">
        <v>25</v>
      </c>
      <c r="N135" t="s">
        <v>39</v>
      </c>
      <c r="Q135" t="s">
        <v>27</v>
      </c>
      <c r="R135" t="s">
        <v>28</v>
      </c>
      <c r="T135">
        <v>49144848</v>
      </c>
      <c r="U135">
        <v>86001353</v>
      </c>
      <c r="V135">
        <v>127531</v>
      </c>
    </row>
    <row r="136" spans="1:22" x14ac:dyDescent="0.2">
      <c r="A136" t="str">
        <f>"053081592"</f>
        <v>053081592</v>
      </c>
      <c r="B136" t="s">
        <v>40</v>
      </c>
      <c r="C136" t="s">
        <v>41</v>
      </c>
      <c r="D136" t="s">
        <v>42</v>
      </c>
      <c r="E136" t="s">
        <v>43</v>
      </c>
      <c r="F136">
        <v>1000</v>
      </c>
      <c r="G136" t="s">
        <v>24</v>
      </c>
      <c r="H136" s="1">
        <v>45721.868750000001</v>
      </c>
      <c r="I136" t="str">
        <f>"0951103"</f>
        <v>0951103</v>
      </c>
      <c r="J136" t="str">
        <f>"0949"</f>
        <v>0949</v>
      </c>
      <c r="K136">
        <v>1127</v>
      </c>
      <c r="L136">
        <v>1</v>
      </c>
      <c r="M136" t="s">
        <v>25</v>
      </c>
      <c r="Q136" t="s">
        <v>27</v>
      </c>
      <c r="R136" t="s">
        <v>28</v>
      </c>
      <c r="T136">
        <v>49144842</v>
      </c>
      <c r="U136">
        <v>86001352</v>
      </c>
      <c r="V136">
        <v>127530</v>
      </c>
    </row>
    <row r="137" spans="1:22" x14ac:dyDescent="0.2">
      <c r="B137" t="s">
        <v>44</v>
      </c>
      <c r="F137">
        <v>50</v>
      </c>
      <c r="G137" t="s">
        <v>24</v>
      </c>
      <c r="H137" s="1">
        <v>45721.868750000001</v>
      </c>
      <c r="I137">
        <v>2369451</v>
      </c>
      <c r="J137">
        <v>7204</v>
      </c>
      <c r="K137" t="str">
        <f>"0926"</f>
        <v>0926</v>
      </c>
      <c r="L137">
        <v>1</v>
      </c>
      <c r="M137" t="s">
        <v>25</v>
      </c>
      <c r="N137" t="s">
        <v>45</v>
      </c>
      <c r="Q137" t="s">
        <v>46</v>
      </c>
      <c r="R137" t="s">
        <v>28</v>
      </c>
      <c r="T137">
        <v>49144827</v>
      </c>
      <c r="U137">
        <v>86001351</v>
      </c>
      <c r="V137">
        <v>127529</v>
      </c>
    </row>
    <row r="138" spans="1:22" x14ac:dyDescent="0.2">
      <c r="B138" t="s">
        <v>36</v>
      </c>
      <c r="F138">
        <v>100</v>
      </c>
      <c r="G138" t="s">
        <v>24</v>
      </c>
      <c r="H138" s="1">
        <v>45721.869444444441</v>
      </c>
      <c r="I138" t="str">
        <f>"0977330"</f>
        <v>0977330</v>
      </c>
      <c r="J138">
        <v>7131</v>
      </c>
      <c r="K138" t="str">
        <f>"0927"</f>
        <v>0927</v>
      </c>
      <c r="L138">
        <v>1</v>
      </c>
      <c r="M138" t="s">
        <v>25</v>
      </c>
      <c r="N138" t="s">
        <v>37</v>
      </c>
      <c r="Q138" t="s">
        <v>27</v>
      </c>
      <c r="R138" t="s">
        <v>28</v>
      </c>
      <c r="T138">
        <v>49144899</v>
      </c>
      <c r="U138">
        <v>86001354</v>
      </c>
      <c r="V138">
        <v>127532</v>
      </c>
    </row>
    <row r="139" spans="1:22" x14ac:dyDescent="0.2">
      <c r="A139">
        <v>322266396</v>
      </c>
      <c r="B139" t="s">
        <v>29</v>
      </c>
      <c r="F139">
        <v>30</v>
      </c>
      <c r="G139" t="s">
        <v>24</v>
      </c>
      <c r="H139" s="1">
        <v>45721.870138888888</v>
      </c>
      <c r="I139" t="str">
        <f>"0990838"</f>
        <v>0990838</v>
      </c>
      <c r="J139">
        <v>1082</v>
      </c>
      <c r="K139" t="str">
        <f>"0825"</f>
        <v>0825</v>
      </c>
      <c r="L139">
        <v>1</v>
      </c>
      <c r="M139" t="s">
        <v>25</v>
      </c>
      <c r="N139" t="s">
        <v>30</v>
      </c>
      <c r="Q139" t="s">
        <v>27</v>
      </c>
      <c r="R139" t="s">
        <v>28</v>
      </c>
      <c r="T139">
        <v>49144929</v>
      </c>
      <c r="U139">
        <v>86001356</v>
      </c>
      <c r="V139">
        <v>127534</v>
      </c>
    </row>
    <row r="140" spans="1:22" x14ac:dyDescent="0.2">
      <c r="A140">
        <v>332487420</v>
      </c>
      <c r="B140" t="s">
        <v>31</v>
      </c>
      <c r="C140" t="s">
        <v>32</v>
      </c>
      <c r="D140" t="s">
        <v>33</v>
      </c>
      <c r="E140" t="s">
        <v>34</v>
      </c>
      <c r="F140">
        <v>500</v>
      </c>
      <c r="G140" t="s">
        <v>24</v>
      </c>
      <c r="H140" s="1">
        <v>45721.870138888888</v>
      </c>
      <c r="I140">
        <v>51735</v>
      </c>
      <c r="J140">
        <v>3457</v>
      </c>
      <c r="K140" t="str">
        <f>"0826"</f>
        <v>0826</v>
      </c>
      <c r="L140">
        <v>1</v>
      </c>
      <c r="M140" t="s">
        <v>25</v>
      </c>
      <c r="N140" t="s">
        <v>35</v>
      </c>
      <c r="Q140" t="s">
        <v>27</v>
      </c>
      <c r="R140" t="s">
        <v>28</v>
      </c>
      <c r="T140">
        <v>49144906</v>
      </c>
      <c r="U140">
        <v>86001355</v>
      </c>
      <c r="V140">
        <v>127533</v>
      </c>
    </row>
    <row r="141" spans="1:22" x14ac:dyDescent="0.2">
      <c r="A141">
        <v>318787421</v>
      </c>
      <c r="B141" t="s">
        <v>22</v>
      </c>
      <c r="D141">
        <v>784</v>
      </c>
      <c r="E141" t="s">
        <v>23</v>
      </c>
      <c r="F141">
        <v>250</v>
      </c>
      <c r="G141" t="s">
        <v>24</v>
      </c>
      <c r="H141" s="1">
        <v>45721.870833333334</v>
      </c>
      <c r="I141">
        <v>53514</v>
      </c>
      <c r="J141">
        <v>2540</v>
      </c>
      <c r="K141" t="str">
        <f>"0728"</f>
        <v>0728</v>
      </c>
      <c r="L141">
        <v>1</v>
      </c>
      <c r="M141" t="s">
        <v>25</v>
      </c>
      <c r="N141" t="s">
        <v>26</v>
      </c>
      <c r="Q141" t="s">
        <v>27</v>
      </c>
      <c r="R141" t="s">
        <v>28</v>
      </c>
      <c r="T141">
        <v>49144960</v>
      </c>
      <c r="U141">
        <v>86001357</v>
      </c>
      <c r="V141">
        <v>127535</v>
      </c>
    </row>
  </sheetData>
  <autoFilter ref="A1:V141">
    <sortState ref="A2:V141">
      <sortCondition ref="H1:H14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ExportHistory_01.03.25_05.03.25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batshi_k</dc:creator>
  <cp:lastModifiedBy>batshi_k</cp:lastModifiedBy>
  <dcterms:created xsi:type="dcterms:W3CDTF">2025-03-05T18:56:40Z</dcterms:created>
  <dcterms:modified xsi:type="dcterms:W3CDTF">2025-03-05T18:57:53Z</dcterms:modified>
</cp:coreProperties>
</file>