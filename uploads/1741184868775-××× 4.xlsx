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2009B01A-5565-417E-B87E-FD55CE895ED4}" xr6:coauthVersionLast="36" xr6:coauthVersionMax="36" xr10:uidLastSave="{00000000-0000-0000-0000-000000000000}"/>
  <bookViews>
    <workbookView xWindow="0" yWindow="0" windowWidth="28800" windowHeight="12255"/>
  </bookViews>
  <sheets>
    <sheet name="ExportHistory_05.03.25_04.03.26" sheetId="1" r:id="rId1"/>
  </sheets>
  <definedNames>
    <definedName name="_xlnm._FilterDatabase" localSheetId="0" hidden="1">ExportHistory_05.03.25_04.03.26!$A$1:$V$84</definedName>
  </definedNames>
  <calcPr calcId="0"/>
</workbook>
</file>

<file path=xl/calcChain.xml><?xml version="1.0" encoding="utf-8"?>
<calcChain xmlns="http://schemas.openxmlformats.org/spreadsheetml/2006/main">
  <c r="A84" i="1" l="1"/>
  <c r="I84" i="1"/>
  <c r="K84" i="1"/>
  <c r="I83" i="1"/>
  <c r="K83" i="1"/>
  <c r="A82" i="1"/>
  <c r="I82" i="1"/>
  <c r="K82" i="1"/>
  <c r="I81" i="1"/>
  <c r="K81" i="1"/>
  <c r="A80" i="1"/>
  <c r="I80" i="1"/>
  <c r="K80" i="1"/>
  <c r="I79" i="1"/>
  <c r="K79" i="1"/>
  <c r="I78" i="1"/>
  <c r="J78" i="1"/>
  <c r="K78" i="1"/>
  <c r="I75" i="1"/>
  <c r="K75" i="1"/>
  <c r="I76" i="1"/>
  <c r="I74" i="1"/>
  <c r="K74" i="1"/>
  <c r="I73" i="1"/>
  <c r="K73" i="1"/>
  <c r="B69" i="1"/>
  <c r="I69" i="1"/>
  <c r="A70" i="1"/>
  <c r="I70" i="1"/>
  <c r="K70" i="1"/>
  <c r="K71" i="1"/>
  <c r="I72" i="1"/>
  <c r="J72" i="1"/>
  <c r="I66" i="1"/>
  <c r="K66" i="1"/>
  <c r="A67" i="1"/>
  <c r="I67" i="1"/>
  <c r="K67" i="1"/>
  <c r="A65" i="1"/>
  <c r="I65" i="1"/>
  <c r="K65" i="1"/>
  <c r="I63" i="1"/>
  <c r="K63" i="1"/>
  <c r="A64" i="1"/>
  <c r="I64" i="1"/>
  <c r="K64" i="1"/>
  <c r="A61" i="1"/>
  <c r="I61" i="1"/>
  <c r="K61" i="1"/>
  <c r="I62" i="1"/>
  <c r="J62" i="1"/>
  <c r="K62" i="1"/>
  <c r="I60" i="1"/>
  <c r="K60" i="1"/>
  <c r="I59" i="1"/>
  <c r="I56" i="1"/>
  <c r="K56" i="1"/>
  <c r="A57" i="1"/>
  <c r="I57" i="1"/>
  <c r="K57" i="1"/>
  <c r="I53" i="1"/>
  <c r="D54" i="1"/>
  <c r="K54" i="1"/>
  <c r="I55" i="1"/>
  <c r="K55" i="1"/>
  <c r="A51" i="1"/>
  <c r="I51" i="1"/>
  <c r="K51" i="1"/>
  <c r="I52" i="1"/>
  <c r="K52" i="1"/>
  <c r="I49" i="1"/>
  <c r="J49" i="1"/>
  <c r="I50" i="1"/>
  <c r="K50" i="1"/>
  <c r="I47" i="1"/>
  <c r="K47" i="1"/>
  <c r="I48" i="1"/>
  <c r="K48" i="1"/>
  <c r="K46" i="1"/>
  <c r="I43" i="1"/>
  <c r="K43" i="1"/>
  <c r="A44" i="1"/>
  <c r="I44" i="1"/>
  <c r="K44" i="1"/>
  <c r="I45" i="1"/>
  <c r="K45" i="1"/>
  <c r="I42" i="1"/>
  <c r="K42" i="1"/>
  <c r="I40" i="1"/>
  <c r="K40" i="1"/>
  <c r="K39" i="1"/>
  <c r="K38" i="1"/>
  <c r="I37" i="1"/>
  <c r="K37" i="1"/>
  <c r="I36" i="1"/>
  <c r="K36" i="1"/>
  <c r="K33" i="1"/>
  <c r="K34" i="1"/>
  <c r="K35" i="1"/>
  <c r="I31" i="1"/>
  <c r="K31" i="1"/>
  <c r="I32" i="1"/>
  <c r="K32" i="1"/>
  <c r="I30" i="1"/>
  <c r="A29" i="1"/>
  <c r="I29" i="1"/>
  <c r="K29" i="1"/>
  <c r="A27" i="1"/>
  <c r="I27" i="1"/>
  <c r="K27" i="1"/>
  <c r="K28" i="1"/>
  <c r="I26" i="1"/>
  <c r="I25" i="1"/>
  <c r="K25" i="1"/>
  <c r="I23" i="1"/>
  <c r="K23" i="1"/>
  <c r="I24" i="1"/>
  <c r="K24" i="1"/>
  <c r="A19" i="1"/>
  <c r="K19" i="1"/>
  <c r="I20" i="1"/>
  <c r="K20" i="1"/>
  <c r="I21" i="1"/>
  <c r="B22" i="1"/>
  <c r="I22" i="1"/>
  <c r="K22" i="1"/>
  <c r="I18" i="1"/>
  <c r="K18" i="1"/>
  <c r="K16" i="1"/>
  <c r="I17" i="1"/>
  <c r="K17" i="1"/>
  <c r="K14" i="1"/>
  <c r="I12" i="1"/>
  <c r="K12" i="1"/>
  <c r="I13" i="1"/>
  <c r="K13" i="1"/>
  <c r="I11" i="1"/>
  <c r="K11" i="1"/>
  <c r="A10" i="1"/>
  <c r="I10" i="1"/>
  <c r="I8" i="1"/>
  <c r="K8" i="1"/>
  <c r="A9" i="1"/>
  <c r="I9" i="1"/>
  <c r="K9" i="1"/>
  <c r="I7" i="1"/>
  <c r="K7" i="1"/>
  <c r="K6" i="1"/>
  <c r="I5" i="1"/>
  <c r="J5" i="1"/>
  <c r="K5" i="1"/>
  <c r="I3" i="1"/>
  <c r="I2" i="1"/>
  <c r="K2" i="1"/>
</calcChain>
</file>

<file path=xl/sharedStrings.xml><?xml version="1.0" encoding="utf-8"?>
<sst xmlns="http://schemas.openxmlformats.org/spreadsheetml/2006/main" count="617" uniqueCount="241">
  <si>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</si>
  <si>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</si>
  <si>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</si>
  <si>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</si>
  <si>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</si>
  <si>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</si>
  <si>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</si>
  <si>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</si>
  <si>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</si>
  <si>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</si>
  <si>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</si>
  <si>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</si>
  <si>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</si>
  <si>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</si>
  <si>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</si>
  <si>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</si>
  <si>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</si>
  <si>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</si>
  <si>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</si>
  <si>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</si>
  <si>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</si>
  <si>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</si>
  <si>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משה רשד</t>
  </si>
  <si>
    <t>שקל</t>
  </si>
  <si>
    <t>קמפיין הכנסת כלה תשפ"ה</t>
  </si>
  <si>
    <t>אביטל רשד</t>
  </si>
  <si>
    <t>מסטרכרד</t>
  </si>
  <si>
    <t>ישראכרט</t>
  </si>
  <si>
    <t>מרים יעקובזון</t>
  </si>
  <si>
    <t>2 מתוך 2</t>
  </si>
  <si>
    <t>אסתי מן</t>
  </si>
  <si>
    <t>ויזה</t>
  </si>
  <si>
    <t>תהילה-עדי ביטון</t>
  </si>
  <si>
    <t>הרב אבן דנן 12/27 אשדוד</t>
  </si>
  <si>
    <t>052-7698848</t>
  </si>
  <si>
    <t>adisalumi@gmail.com</t>
  </si>
  <si>
    <t>הגעתי דרך אביה סלומי</t>
  </si>
  <si>
    <t>נחמה נאור</t>
  </si>
  <si>
    <t>אביגיל נאור</t>
  </si>
  <si>
    <t>כס משה</t>
  </si>
  <si>
    <t>ירושלים 63 בני ברק</t>
  </si>
  <si>
    <t>052-7139795</t>
  </si>
  <si>
    <t>k0527139795@gmail.com</t>
  </si>
  <si>
    <t>על ידי שולמית הורן המהימה שנה א'</t>
  </si>
  <si>
    <t>2 מתוך 10</t>
  </si>
  <si>
    <t>אלישבע קצנלבוגן</t>
  </si>
  <si>
    <t>בני ברק</t>
  </si>
  <si>
    <t>מרים קדר</t>
  </si>
  <si>
    <t>הודיה אורבך</t>
  </si>
  <si>
    <t>הדס שמואל</t>
  </si>
  <si>
    <t>יוכבד גורדון</t>
  </si>
  <si>
    <t xml:space="preserve"> 01535D</t>
  </si>
  <si>
    <t>רחלי וויליג</t>
  </si>
  <si>
    <t>מיכל ארסליס</t>
  </si>
  <si>
    <t>שרה רף</t>
  </si>
  <si>
    <t>מרימי מונסונגו</t>
  </si>
  <si>
    <t>חיה גולדברג</t>
  </si>
  <si>
    <t>שושנה שפירא</t>
  </si>
  <si>
    <t>תמר כודרי</t>
  </si>
  <si>
    <t>אפרת זוננטל</t>
  </si>
  <si>
    <t>053-4101607</t>
  </si>
  <si>
    <t>NedarimPhone</t>
  </si>
  <si>
    <t>ענת זילברליכט</t>
  </si>
  <si>
    <t>שילת מימון</t>
  </si>
  <si>
    <t xml:space="preserve">מרים זיר </t>
  </si>
  <si>
    <t>נחל איילון 21/4 בית שמש</t>
  </si>
  <si>
    <t>058-3249437</t>
  </si>
  <si>
    <t>ziermiriam@gmail.com</t>
  </si>
  <si>
    <t>שושנה קרביץ</t>
  </si>
  <si>
    <t>חני שרייבר</t>
  </si>
  <si>
    <t>לחי 35</t>
  </si>
  <si>
    <t>058-6479260</t>
  </si>
  <si>
    <t>c0504103335@gmail.com</t>
  </si>
  <si>
    <t>חוה</t>
  </si>
  <si>
    <t>דרך שרה לוי ובת שבע קרסילשיק</t>
  </si>
  <si>
    <t>פרל ברכה נדל</t>
  </si>
  <si>
    <t>ירושלים 51 בני ברק</t>
  </si>
  <si>
    <t>052-7128999</t>
  </si>
  <si>
    <t>pn0556781949@gmail.com</t>
  </si>
  <si>
    <t>אייל כותה</t>
  </si>
  <si>
    <t>תהילה כותה</t>
  </si>
  <si>
    <t>1 מתוך 2</t>
  </si>
  <si>
    <t>חנה שטרית</t>
  </si>
  <si>
    <t>מאיר קורלנסקי</t>
  </si>
  <si>
    <t>חני קורלנסקי</t>
  </si>
  <si>
    <t>שטיינברג שלום</t>
  </si>
  <si>
    <t>יוסף 35 חיפה</t>
  </si>
  <si>
    <t>052-2222104</t>
  </si>
  <si>
    <t>office@hacaveret.co.il</t>
  </si>
  <si>
    <t>יהודית רינדר</t>
  </si>
  <si>
    <t>מרדכי ברזנסקי</t>
  </si>
  <si>
    <t>שרה לוי</t>
  </si>
  <si>
    <t>אילין מילר</t>
  </si>
  <si>
    <t>יהודה מרמלשטיין</t>
  </si>
  <si>
    <t>חנה מרמלשטיין</t>
  </si>
  <si>
    <t>ליאורה צימרמן</t>
  </si>
  <si>
    <t>אלישבע צימרמן</t>
  </si>
  <si>
    <t>אורה פיינסילבר</t>
  </si>
  <si>
    <t>Michael Lang</t>
  </si>
  <si>
    <t>Hegenheimerstrasse 37 Basel</t>
  </si>
  <si>
    <t>miralimmobilien@gmail.com</t>
  </si>
  <si>
    <t xml:space="preserve"> BYQFFD</t>
  </si>
  <si>
    <t>Chavi Lang, Dira 4</t>
  </si>
  <si>
    <t xml:space="preserve">דינה </t>
  </si>
  <si>
    <t>נחל ערוגות בית שמש</t>
  </si>
  <si>
    <t>058-3248002</t>
  </si>
  <si>
    <t>dina0583248002@gmail.com</t>
  </si>
  <si>
    <t>תזכו למצוות</t>
  </si>
  <si>
    <t>טליה אייקס</t>
  </si>
  <si>
    <t>בר כוכבא 19 ירושלים</t>
  </si>
  <si>
    <t>053-3171937</t>
  </si>
  <si>
    <t>taliaisaa?cs24gmail.com</t>
  </si>
  <si>
    <t>נאווה איזקסון דירה 1 התרימה אותי:)</t>
  </si>
  <si>
    <t>שירה בן סימון</t>
  </si>
  <si>
    <t>טהון 13 ירושלים</t>
  </si>
  <si>
    <t>052-7109309</t>
  </si>
  <si>
    <t>shirab5420@gmail.com</t>
  </si>
  <si>
    <t>מתרימה: מרימי מונסונגו</t>
  </si>
  <si>
    <t>העברה בקליק</t>
  </si>
  <si>
    <t>יואל עמית</t>
  </si>
  <si>
    <t>שרה סיטרוק</t>
  </si>
  <si>
    <t>סיימון דבורה</t>
  </si>
  <si>
    <t>11 Beit Yisra'el Street, דירה 2 Bet Shemesh</t>
  </si>
  <si>
    <t>053-3199542</t>
  </si>
  <si>
    <t>menaheletsimon@gmail.com</t>
  </si>
  <si>
    <t>הודיה חיים</t>
  </si>
  <si>
    <t>אביגיל אבוחצירא</t>
  </si>
  <si>
    <t>גולן אבוטבול</t>
  </si>
  <si>
    <t>איילת רונן</t>
  </si>
  <si>
    <t>מירים ון קרפלד</t>
  </si>
  <si>
    <t>סביון 18 רכסים</t>
  </si>
  <si>
    <t>052-2540020</t>
  </si>
  <si>
    <t>mirivc42@gmail.com</t>
  </si>
  <si>
    <t>חנה בנימיני</t>
  </si>
  <si>
    <t>מינץ4 ירושלים</t>
  </si>
  <si>
    <t>055-6754383</t>
  </si>
  <si>
    <t>cb0556754383@gmail.com</t>
  </si>
  <si>
    <t>חני בנימיני</t>
  </si>
  <si>
    <t>חיה בנימיני</t>
  </si>
  <si>
    <t>moishix5@gmail.com</t>
  </si>
  <si>
    <t>אביטל אוטמזגין</t>
  </si>
  <si>
    <t xml:space="preserve"> אקליפטוס 25 אופקים</t>
  </si>
  <si>
    <t>052-7110158</t>
  </si>
  <si>
    <t>avital.o2604@gmail.com</t>
  </si>
  <si>
    <t xml:space="preserve">חפציבה חמרה </t>
  </si>
  <si>
    <t>סיימון אפרים</t>
  </si>
  <si>
    <t>הר המוריה 2 גבעת זאב</t>
  </si>
  <si>
    <t>053-3121257</t>
  </si>
  <si>
    <t>2770252@gmail.com</t>
  </si>
  <si>
    <t>בתיה סיימון</t>
  </si>
  <si>
    <t>shmuel rotblat</t>
  </si>
  <si>
    <t>מהרי״ל 20 מודיעין עילית</t>
  </si>
  <si>
    <t>052-9662020</t>
  </si>
  <si>
    <t>blumikreiman@gmail.com</t>
  </si>
  <si>
    <t>פייגי קריימן</t>
  </si>
  <si>
    <t>רחל אדלשטיין</t>
  </si>
  <si>
    <t>שילת שרביט</t>
  </si>
  <si>
    <t xml:space="preserve">יעקב אלכסנדר </t>
  </si>
  <si>
    <t xml:space="preserve">חשמונאים  חשמונאים </t>
  </si>
  <si>
    <t>052-6842070</t>
  </si>
  <si>
    <t>yaakovalexander@gmail.com</t>
  </si>
  <si>
    <t>רחלי קן תור</t>
  </si>
  <si>
    <t>רבי יהודה הנשיא 39 פתח תווה</t>
  </si>
  <si>
    <t>054-8404922</t>
  </si>
  <si>
    <t>kantorrachli@gmail.com</t>
  </si>
  <si>
    <t xml:space="preserve">תהילה כותה האחת והיחידה (50 -1 לשנה הבאה:) </t>
  </si>
  <si>
    <t>תהילה קראווני</t>
  </si>
  <si>
    <t>סולם יעקב 4 ירושלים</t>
  </si>
  <si>
    <t>052-7172832</t>
  </si>
  <si>
    <t>tgavra1@gmail.com</t>
  </si>
  <si>
    <t>תמר אביב דירה 7</t>
  </si>
  <si>
    <t>דינה לאה דייויס</t>
  </si>
  <si>
    <t>dinaleahdavis17@gmail.com</t>
  </si>
  <si>
    <t xml:space="preserve"> ליבוף גולי</t>
  </si>
  <si>
    <t>חיים לסקוב 6ב רעננה</t>
  </si>
  <si>
    <t>052-3332892</t>
  </si>
  <si>
    <t>julieleboff@gmail.com</t>
  </si>
  <si>
    <t>אורה פיינסלור דירה 8</t>
  </si>
  <si>
    <t>שלמה חבטינסקי</t>
  </si>
  <si>
    <t>נעמי חבטינסקי</t>
  </si>
  <si>
    <t>מרים נדב</t>
  </si>
  <si>
    <t>מירי נדב</t>
  </si>
  <si>
    <t>שרה לאה ויסבקר</t>
  </si>
  <si>
    <t xml:space="preserve">אביב שלמה </t>
  </si>
  <si>
    <t>הקבלן 3 ירושלים</t>
  </si>
  <si>
    <t>054-8407399</t>
  </si>
  <si>
    <t>yaelaviv2020@gmail.com</t>
  </si>
  <si>
    <t>תמר אביב  לזכות - אלישבע בת חנה</t>
  </si>
  <si>
    <t>שירה אייזנברג</t>
  </si>
  <si>
    <t>דונה דדון</t>
  </si>
  <si>
    <t>הרי"ף 6 קרית יערים</t>
  </si>
  <si>
    <t>054-8486264</t>
  </si>
  <si>
    <t>donnasinyor@gmail.com</t>
  </si>
  <si>
    <t>שרה קליין</t>
  </si>
  <si>
    <t>אהרון שפירא</t>
  </si>
  <si>
    <t>רבקה פיינסילבר</t>
  </si>
  <si>
    <t>תמר רשד</t>
  </si>
  <si>
    <t>תמימה זרנסט</t>
  </si>
  <si>
    <t>נאוה זרנסט</t>
  </si>
  <si>
    <t xml:space="preserve">אסתי פרל </t>
  </si>
  <si>
    <t>הבעש"ט, 15 קרית יערים</t>
  </si>
  <si>
    <t>052-7675256</t>
  </si>
  <si>
    <t>estyperl18@gmail.com</t>
  </si>
  <si>
    <t>דרך גולדי פרל אחותי המהממת 😊</t>
  </si>
  <si>
    <t>058-3208595</t>
  </si>
  <si>
    <t>צביה גינזבורג</t>
  </si>
  <si>
    <t>tzivi163107@gmail.com</t>
  </si>
  <si>
    <t>חבטינסקי אלי</t>
  </si>
  <si>
    <t>שח"ל 29 ירושלים</t>
  </si>
  <si>
    <t>054-5898372</t>
  </si>
  <si>
    <t>eli.khvatinsky@gmail.com</t>
  </si>
  <si>
    <t>חיה עליזה הייטנר</t>
  </si>
  <si>
    <t>נחל רביבים 13, 13 בית שמש</t>
  </si>
  <si>
    <t>054-8415494</t>
  </si>
  <si>
    <t>caheitner@gmail.com</t>
  </si>
  <si>
    <t>טובה מן</t>
  </si>
  <si>
    <t>שרית וינטר</t>
  </si>
  <si>
    <t>הדסה</t>
  </si>
  <si>
    <t>הרב קעניג 2/8 ביתר עילית</t>
  </si>
  <si>
    <t>054-8454975</t>
  </si>
  <si>
    <t>h5808595@gmail.com</t>
  </si>
  <si>
    <t xml:space="preserve">שרה לוי - מתרימה </t>
  </si>
  <si>
    <t>מאשה מן</t>
  </si>
  <si>
    <t xml:space="preserve">בנימיני תמר </t>
  </si>
  <si>
    <t>tamiblau1@gmail.com</t>
  </si>
  <si>
    <t>על שם חני בנימיני</t>
  </si>
  <si>
    <t>שירלי פורסט</t>
  </si>
  <si>
    <t xml:space="preserve"> NDAC3L</t>
  </si>
  <si>
    <t>רחלי יוספי</t>
  </si>
  <si>
    <t>נתן אלטמן</t>
  </si>
  <si>
    <t>nathan.altmann@gmail.com</t>
  </si>
  <si>
    <t>פופלבסקי מיכל</t>
  </si>
  <si>
    <t>נחל ניצנים 5 בית שמש</t>
  </si>
  <si>
    <t>052-7602735</t>
  </si>
  <si>
    <t>michalpop2735@gmail.com</t>
  </si>
  <si>
    <t>מיכל פופלבסקי</t>
  </si>
  <si>
    <t>רבקה אפיק</t>
  </si>
  <si>
    <t>נוף העמק 12 מגדל העמק</t>
  </si>
  <si>
    <t>053-4142904</t>
  </si>
  <si>
    <t>rivka6440@gmail.com</t>
  </si>
  <si>
    <t xml:space="preserve">יעל אפיק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</si>
</sst>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"/>
  <sheetViews>
    <sheetView rightToLeft="1" tabSelected="1" workbookViewId="0">
      <selection activeCell="C10" sqref="C10"/>
    </sheetView>
  </sheetViews>
  <sheetFormatPr defaultRowHeight="14.25" x14ac:dyDescent="0.2"/>
  <cols>
    <col min="1" max="1" width="11.125" bestFit="1" customWidth="1"/>
    <col min="2" max="2" width="16.75" bestFit="1" customWidth="1"/>
    <col min="3" max="3" width="41.5" bestFit="1" customWidth="1"/>
    <col min="4" max="4" width="14" bestFit="1" customWidth="1"/>
    <col min="5" max="5" width="25.12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625" bestFit="1" customWidth="1"/>
    <col min="13" max="13" width="20" bestFit="1" customWidth="1"/>
    <col min="14" max="14" width="40.625" bestFit="1" customWidth="1"/>
    <col min="15" max="15" width="9.5" bestFit="1" customWidth="1"/>
    <col min="16" max="16" width="11.375" bestFit="1" customWidth="1"/>
    <col min="17" max="17" width="10.87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327506440</v>
      </c>
      <c r="B2" t="s">
        <v>236</v>
      </c>
      <c r="C2" t="s">
        <v>237</v>
      </c>
      <c r="D2" t="s">
        <v>238</v>
      </c>
      <c r="E2" t="s">
        <v>239</v>
      </c>
      <c r="F2">
        <v>50</v>
      </c>
      <c r="G2" t="s">
        <v>23</v>
      </c>
      <c r="H2" s="1">
        <v>45721.602083333331</v>
      </c>
      <c r="I2" t="str">
        <f>"0994921"</f>
        <v>0994921</v>
      </c>
      <c r="J2">
        <v>9740</v>
      </c>
      <c r="K2" t="str">
        <f>"0827"</f>
        <v>0827</v>
      </c>
      <c r="L2">
        <v>1</v>
      </c>
      <c r="M2" t="s">
        <v>24</v>
      </c>
      <c r="N2" t="s">
        <v>240</v>
      </c>
      <c r="Q2" t="s">
        <v>31</v>
      </c>
      <c r="R2" t="s">
        <v>27</v>
      </c>
      <c r="T2">
        <v>49130556</v>
      </c>
      <c r="U2">
        <v>86001020</v>
      </c>
      <c r="V2">
        <v>127193</v>
      </c>
    </row>
    <row r="3" spans="1:22" x14ac:dyDescent="0.2">
      <c r="A3">
        <v>215603895</v>
      </c>
      <c r="B3" t="s">
        <v>231</v>
      </c>
      <c r="C3" t="s">
        <v>232</v>
      </c>
      <c r="D3" t="s">
        <v>233</v>
      </c>
      <c r="E3" t="s">
        <v>234</v>
      </c>
      <c r="F3">
        <v>80</v>
      </c>
      <c r="G3" t="s">
        <v>23</v>
      </c>
      <c r="H3" s="1">
        <v>45721.606944444444</v>
      </c>
      <c r="I3" t="str">
        <f>"0191338"</f>
        <v>0191338</v>
      </c>
      <c r="J3">
        <v>2778</v>
      </c>
      <c r="K3">
        <v>1029</v>
      </c>
      <c r="L3">
        <v>1</v>
      </c>
      <c r="M3" t="s">
        <v>24</v>
      </c>
      <c r="N3" t="s">
        <v>235</v>
      </c>
      <c r="Q3" t="s">
        <v>31</v>
      </c>
      <c r="R3" t="s">
        <v>27</v>
      </c>
      <c r="T3">
        <v>49130826</v>
      </c>
      <c r="U3">
        <v>86001022</v>
      </c>
      <c r="V3">
        <v>127195</v>
      </c>
    </row>
    <row r="4" spans="1:22" x14ac:dyDescent="0.2">
      <c r="A4">
        <v>345913289</v>
      </c>
      <c r="B4" t="s">
        <v>229</v>
      </c>
      <c r="E4" t="s">
        <v>230</v>
      </c>
      <c r="F4">
        <v>50</v>
      </c>
      <c r="G4" t="s">
        <v>23</v>
      </c>
      <c r="H4" s="1">
        <v>45721.61041666667</v>
      </c>
      <c r="I4">
        <v>375652</v>
      </c>
      <c r="J4">
        <v>8665</v>
      </c>
      <c r="K4">
        <v>1026</v>
      </c>
      <c r="L4">
        <v>1</v>
      </c>
      <c r="M4" t="s">
        <v>24</v>
      </c>
      <c r="Q4" t="s">
        <v>31</v>
      </c>
      <c r="R4" t="s">
        <v>27</v>
      </c>
      <c r="T4">
        <v>49131078</v>
      </c>
      <c r="U4">
        <v>86001023</v>
      </c>
      <c r="V4">
        <v>127196</v>
      </c>
    </row>
    <row r="5" spans="1:22" x14ac:dyDescent="0.2">
      <c r="A5">
        <v>327824108</v>
      </c>
      <c r="B5" t="s">
        <v>228</v>
      </c>
      <c r="F5">
        <v>1100</v>
      </c>
      <c r="G5" t="s">
        <v>23</v>
      </c>
      <c r="H5" s="1">
        <v>45721.611111111109</v>
      </c>
      <c r="I5" t="str">
        <f>"0385559"</f>
        <v>0385559</v>
      </c>
      <c r="J5" t="str">
        <f>"0358"</f>
        <v>0358</v>
      </c>
      <c r="K5" t="str">
        <f>"0529"</f>
        <v>0529</v>
      </c>
      <c r="L5">
        <v>1</v>
      </c>
      <c r="M5" t="s">
        <v>24</v>
      </c>
      <c r="N5" t="s">
        <v>228</v>
      </c>
      <c r="Q5" t="s">
        <v>31</v>
      </c>
      <c r="R5" t="s">
        <v>27</v>
      </c>
      <c r="T5">
        <v>49131108</v>
      </c>
      <c r="U5">
        <v>86001024</v>
      </c>
      <c r="V5">
        <v>127197</v>
      </c>
    </row>
    <row r="6" spans="1:22" x14ac:dyDescent="0.2">
      <c r="B6" t="s">
        <v>226</v>
      </c>
      <c r="F6">
        <v>150</v>
      </c>
      <c r="G6" t="s">
        <v>23</v>
      </c>
      <c r="H6" s="1">
        <v>45721.615277777775</v>
      </c>
      <c r="I6" t="s">
        <v>227</v>
      </c>
      <c r="J6">
        <v>5823</v>
      </c>
      <c r="K6" t="str">
        <f>"0929"</f>
        <v>0929</v>
      </c>
      <c r="L6">
        <v>1</v>
      </c>
      <c r="M6" t="s">
        <v>24</v>
      </c>
      <c r="N6" t="s">
        <v>226</v>
      </c>
      <c r="Q6" t="s">
        <v>31</v>
      </c>
      <c r="R6" t="s">
        <v>27</v>
      </c>
      <c r="T6">
        <v>49131276</v>
      </c>
      <c r="U6">
        <v>86001025</v>
      </c>
      <c r="V6">
        <v>127198</v>
      </c>
    </row>
    <row r="7" spans="1:22" x14ac:dyDescent="0.2">
      <c r="A7">
        <v>303095533</v>
      </c>
      <c r="B7" t="s">
        <v>39</v>
      </c>
      <c r="C7" t="s">
        <v>40</v>
      </c>
      <c r="D7" t="s">
        <v>41</v>
      </c>
      <c r="E7" t="s">
        <v>42</v>
      </c>
      <c r="F7">
        <v>125</v>
      </c>
      <c r="G7" t="s">
        <v>23</v>
      </c>
      <c r="H7" s="1">
        <v>45721.622916666667</v>
      </c>
      <c r="I7" t="str">
        <f>"0915223"</f>
        <v>0915223</v>
      </c>
      <c r="J7">
        <v>7233</v>
      </c>
      <c r="K7" t="str">
        <f>"0825"</f>
        <v>0825</v>
      </c>
      <c r="L7" t="s">
        <v>81</v>
      </c>
      <c r="M7" t="s">
        <v>24</v>
      </c>
      <c r="N7" t="s">
        <v>43</v>
      </c>
      <c r="Q7" t="s">
        <v>31</v>
      </c>
      <c r="R7" t="s">
        <v>27</v>
      </c>
      <c r="T7">
        <v>49131588</v>
      </c>
      <c r="U7">
        <v>86001026</v>
      </c>
      <c r="V7">
        <v>127199</v>
      </c>
    </row>
    <row r="8" spans="1:22" x14ac:dyDescent="0.2">
      <c r="B8" t="s">
        <v>223</v>
      </c>
      <c r="E8" t="s">
        <v>224</v>
      </c>
      <c r="F8">
        <v>50</v>
      </c>
      <c r="G8" t="s">
        <v>23</v>
      </c>
      <c r="H8" s="1">
        <v>45721.625</v>
      </c>
      <c r="I8" t="str">
        <f>"0995191"</f>
        <v>0995191</v>
      </c>
      <c r="J8">
        <v>9290</v>
      </c>
      <c r="K8" t="str">
        <f>"0528"</f>
        <v>0528</v>
      </c>
      <c r="L8">
        <v>1</v>
      </c>
      <c r="M8" t="s">
        <v>24</v>
      </c>
      <c r="N8" t="s">
        <v>225</v>
      </c>
      <c r="Q8" t="s">
        <v>31</v>
      </c>
      <c r="R8" t="s">
        <v>27</v>
      </c>
      <c r="T8">
        <v>49131669</v>
      </c>
      <c r="U8">
        <v>86001028</v>
      </c>
      <c r="V8">
        <v>127201</v>
      </c>
    </row>
    <row r="9" spans="1:22" x14ac:dyDescent="0.2">
      <c r="A9" t="str">
        <f>"057052037"</f>
        <v>057052037</v>
      </c>
      <c r="B9" t="s">
        <v>37</v>
      </c>
      <c r="F9">
        <v>180</v>
      </c>
      <c r="G9" t="s">
        <v>23</v>
      </c>
      <c r="H9" s="1">
        <v>45721.625</v>
      </c>
      <c r="I9" t="str">
        <f>"0993345"</f>
        <v>0993345</v>
      </c>
      <c r="J9">
        <v>1215</v>
      </c>
      <c r="K9" t="str">
        <f>"0127"</f>
        <v>0127</v>
      </c>
      <c r="L9" t="s">
        <v>81</v>
      </c>
      <c r="M9" t="s">
        <v>24</v>
      </c>
      <c r="N9" t="s">
        <v>38</v>
      </c>
      <c r="Q9" t="s">
        <v>31</v>
      </c>
      <c r="R9" t="s">
        <v>27</v>
      </c>
      <c r="T9">
        <v>49131665</v>
      </c>
      <c r="U9">
        <v>86001027</v>
      </c>
      <c r="V9">
        <v>127200</v>
      </c>
    </row>
    <row r="10" spans="1:22" x14ac:dyDescent="0.2">
      <c r="A10" t="str">
        <f>"022869481"</f>
        <v>022869481</v>
      </c>
      <c r="B10" t="s">
        <v>222</v>
      </c>
      <c r="F10">
        <v>300</v>
      </c>
      <c r="G10" t="s">
        <v>23</v>
      </c>
      <c r="H10" s="1">
        <v>45721.627083333333</v>
      </c>
      <c r="I10" t="str">
        <f>"0089797"</f>
        <v>0089797</v>
      </c>
      <c r="J10">
        <v>8269</v>
      </c>
      <c r="K10">
        <v>1030</v>
      </c>
      <c r="L10">
        <v>1</v>
      </c>
      <c r="M10" t="s">
        <v>24</v>
      </c>
      <c r="N10" t="s">
        <v>30</v>
      </c>
      <c r="Q10" t="s">
        <v>31</v>
      </c>
      <c r="R10" t="s">
        <v>27</v>
      </c>
      <c r="T10">
        <v>49131773</v>
      </c>
      <c r="U10">
        <v>86001029</v>
      </c>
      <c r="V10">
        <v>127202</v>
      </c>
    </row>
    <row r="11" spans="1:22" x14ac:dyDescent="0.2">
      <c r="A11">
        <v>211982699</v>
      </c>
      <c r="B11" t="s">
        <v>217</v>
      </c>
      <c r="C11" t="s">
        <v>218</v>
      </c>
      <c r="D11" t="s">
        <v>219</v>
      </c>
      <c r="E11" t="s">
        <v>220</v>
      </c>
      <c r="F11">
        <v>18</v>
      </c>
      <c r="G11" t="s">
        <v>23</v>
      </c>
      <c r="H11" s="1">
        <v>45721.62777777778</v>
      </c>
      <c r="I11" t="str">
        <f>"0237761"</f>
        <v>0237761</v>
      </c>
      <c r="J11">
        <v>7455</v>
      </c>
      <c r="K11" t="str">
        <f>"0829"</f>
        <v>0829</v>
      </c>
      <c r="L11">
        <v>1</v>
      </c>
      <c r="M11" t="s">
        <v>24</v>
      </c>
      <c r="N11" t="s">
        <v>221</v>
      </c>
      <c r="Q11" t="s">
        <v>31</v>
      </c>
      <c r="R11" t="s">
        <v>27</v>
      </c>
      <c r="T11">
        <v>49131807</v>
      </c>
      <c r="U11">
        <v>86001030</v>
      </c>
      <c r="V11">
        <v>127203</v>
      </c>
    </row>
    <row r="12" spans="1:22" x14ac:dyDescent="0.2">
      <c r="A12">
        <v>301464137</v>
      </c>
      <c r="B12" t="s">
        <v>32</v>
      </c>
      <c r="C12" t="s">
        <v>33</v>
      </c>
      <c r="D12" t="s">
        <v>34</v>
      </c>
      <c r="E12" t="s">
        <v>35</v>
      </c>
      <c r="F12">
        <v>350</v>
      </c>
      <c r="G12" t="s">
        <v>23</v>
      </c>
      <c r="H12" s="1">
        <v>45721.628472222219</v>
      </c>
      <c r="I12" t="str">
        <f>"0161950"</f>
        <v>0161950</v>
      </c>
      <c r="J12">
        <v>2614</v>
      </c>
      <c r="K12" t="str">
        <f>"0430"</f>
        <v>0430</v>
      </c>
      <c r="L12" t="s">
        <v>81</v>
      </c>
      <c r="M12" t="s">
        <v>24</v>
      </c>
      <c r="N12" t="s">
        <v>36</v>
      </c>
      <c r="Q12" t="s">
        <v>31</v>
      </c>
      <c r="R12" t="s">
        <v>27</v>
      </c>
      <c r="T12">
        <v>49131852</v>
      </c>
      <c r="U12">
        <v>86001032</v>
      </c>
      <c r="V12">
        <v>127205</v>
      </c>
    </row>
    <row r="13" spans="1:22" x14ac:dyDescent="0.2">
      <c r="A13">
        <v>329173033</v>
      </c>
      <c r="B13" t="s">
        <v>216</v>
      </c>
      <c r="F13">
        <v>50</v>
      </c>
      <c r="G13" t="s">
        <v>23</v>
      </c>
      <c r="H13" s="1">
        <v>45721.628472222219</v>
      </c>
      <c r="I13" t="str">
        <f>"0246893"</f>
        <v>0246893</v>
      </c>
      <c r="J13">
        <v>7997</v>
      </c>
      <c r="K13" t="str">
        <f>"0930"</f>
        <v>0930</v>
      </c>
      <c r="L13">
        <v>1</v>
      </c>
      <c r="M13" t="s">
        <v>24</v>
      </c>
      <c r="N13" t="s">
        <v>30</v>
      </c>
      <c r="Q13" t="s">
        <v>31</v>
      </c>
      <c r="R13" t="s">
        <v>27</v>
      </c>
      <c r="T13">
        <v>49131847</v>
      </c>
      <c r="U13">
        <v>86001031</v>
      </c>
      <c r="V13">
        <v>127204</v>
      </c>
    </row>
    <row r="14" spans="1:22" x14ac:dyDescent="0.2">
      <c r="A14">
        <v>322964164</v>
      </c>
      <c r="B14" t="s">
        <v>215</v>
      </c>
      <c r="F14">
        <v>50</v>
      </c>
      <c r="G14" t="s">
        <v>23</v>
      </c>
      <c r="H14" s="1">
        <v>45721.629166666666</v>
      </c>
      <c r="I14">
        <v>66764</v>
      </c>
      <c r="J14">
        <v>5720</v>
      </c>
      <c r="K14" t="str">
        <f>"0429"</f>
        <v>0429</v>
      </c>
      <c r="L14">
        <v>1</v>
      </c>
      <c r="M14" t="s">
        <v>24</v>
      </c>
      <c r="N14" t="s">
        <v>30</v>
      </c>
      <c r="Q14" t="s">
        <v>31</v>
      </c>
      <c r="R14" t="s">
        <v>27</v>
      </c>
      <c r="T14">
        <v>49131887</v>
      </c>
      <c r="U14">
        <v>86001033</v>
      </c>
      <c r="V14">
        <v>127206</v>
      </c>
    </row>
    <row r="15" spans="1:22" x14ac:dyDescent="0.2">
      <c r="A15">
        <v>328185137</v>
      </c>
      <c r="B15" t="s">
        <v>211</v>
      </c>
      <c r="C15" t="s">
        <v>212</v>
      </c>
      <c r="D15" t="s">
        <v>213</v>
      </c>
      <c r="E15" t="s">
        <v>214</v>
      </c>
      <c r="F15">
        <v>400</v>
      </c>
      <c r="G15" t="s">
        <v>23</v>
      </c>
      <c r="H15" s="1">
        <v>45721.629861111112</v>
      </c>
      <c r="I15">
        <v>68437</v>
      </c>
      <c r="J15">
        <v>4843</v>
      </c>
      <c r="K15">
        <v>1227</v>
      </c>
      <c r="L15">
        <v>1</v>
      </c>
      <c r="M15" t="s">
        <v>24</v>
      </c>
      <c r="Q15" t="s">
        <v>31</v>
      </c>
      <c r="R15" t="s">
        <v>27</v>
      </c>
      <c r="T15">
        <v>49131906</v>
      </c>
      <c r="U15">
        <v>86001034</v>
      </c>
      <c r="V15">
        <v>127207</v>
      </c>
    </row>
    <row r="16" spans="1:22" x14ac:dyDescent="0.2">
      <c r="A16">
        <v>307669474</v>
      </c>
      <c r="B16" t="s">
        <v>207</v>
      </c>
      <c r="C16" t="s">
        <v>208</v>
      </c>
      <c r="D16" t="s">
        <v>209</v>
      </c>
      <c r="E16" t="s">
        <v>210</v>
      </c>
      <c r="F16">
        <v>400</v>
      </c>
      <c r="G16" t="s">
        <v>23</v>
      </c>
      <c r="H16" s="1">
        <v>45721.630555555559</v>
      </c>
      <c r="I16">
        <v>70275</v>
      </c>
      <c r="J16">
        <v>3311</v>
      </c>
      <c r="K16" t="str">
        <f>"0227"</f>
        <v>0227</v>
      </c>
      <c r="L16">
        <v>1</v>
      </c>
      <c r="M16" t="s">
        <v>24</v>
      </c>
      <c r="N16" t="s">
        <v>179</v>
      </c>
      <c r="Q16" t="s">
        <v>31</v>
      </c>
      <c r="R16" t="s">
        <v>27</v>
      </c>
      <c r="T16">
        <v>49131926</v>
      </c>
      <c r="U16">
        <v>86001036</v>
      </c>
      <c r="V16">
        <v>127209</v>
      </c>
    </row>
    <row r="17" spans="1:22" x14ac:dyDescent="0.2">
      <c r="A17">
        <v>329225551</v>
      </c>
      <c r="B17" t="s">
        <v>198</v>
      </c>
      <c r="F17">
        <v>150</v>
      </c>
      <c r="G17" t="s">
        <v>23</v>
      </c>
      <c r="H17" s="1">
        <v>45721.630555555559</v>
      </c>
      <c r="I17" t="str">
        <f>"0232983"</f>
        <v>0232983</v>
      </c>
      <c r="J17">
        <v>4618</v>
      </c>
      <c r="K17" t="str">
        <f>"0629"</f>
        <v>0629</v>
      </c>
      <c r="L17">
        <v>1</v>
      </c>
      <c r="M17" t="s">
        <v>24</v>
      </c>
      <c r="N17" t="s">
        <v>198</v>
      </c>
      <c r="Q17" t="s">
        <v>31</v>
      </c>
      <c r="R17" t="s">
        <v>27</v>
      </c>
      <c r="T17">
        <v>49131920</v>
      </c>
      <c r="U17">
        <v>86001035</v>
      </c>
      <c r="V17">
        <v>127208</v>
      </c>
    </row>
    <row r="18" spans="1:22" x14ac:dyDescent="0.2">
      <c r="A18">
        <v>214901803</v>
      </c>
      <c r="B18" t="s">
        <v>205</v>
      </c>
      <c r="E18" t="s">
        <v>206</v>
      </c>
      <c r="F18">
        <v>100</v>
      </c>
      <c r="G18" t="s">
        <v>23</v>
      </c>
      <c r="H18" s="1">
        <v>45721.631249999999</v>
      </c>
      <c r="I18" t="str">
        <f>"0269532"</f>
        <v>0269532</v>
      </c>
      <c r="J18">
        <v>2257</v>
      </c>
      <c r="K18" t="str">
        <f>"0829"</f>
        <v>0829</v>
      </c>
      <c r="L18">
        <v>1</v>
      </c>
      <c r="M18" t="s">
        <v>24</v>
      </c>
      <c r="N18" t="s">
        <v>30</v>
      </c>
      <c r="Q18" t="s">
        <v>31</v>
      </c>
      <c r="R18" t="s">
        <v>27</v>
      </c>
      <c r="T18">
        <v>49131948</v>
      </c>
      <c r="U18">
        <v>86001037</v>
      </c>
      <c r="V18">
        <v>127210</v>
      </c>
    </row>
    <row r="19" spans="1:22" x14ac:dyDescent="0.2">
      <c r="A19" t="str">
        <f>"041861584"</f>
        <v>041861584</v>
      </c>
      <c r="B19" t="s">
        <v>196</v>
      </c>
      <c r="F19">
        <v>50</v>
      </c>
      <c r="G19" t="s">
        <v>23</v>
      </c>
      <c r="H19" s="1">
        <v>45721.631944444445</v>
      </c>
      <c r="I19">
        <v>74035</v>
      </c>
      <c r="J19">
        <v>2525</v>
      </c>
      <c r="K19" t="str">
        <f>"0529"</f>
        <v>0529</v>
      </c>
      <c r="L19">
        <v>1</v>
      </c>
      <c r="M19" t="s">
        <v>24</v>
      </c>
      <c r="N19" t="s">
        <v>25</v>
      </c>
      <c r="Q19" t="s">
        <v>31</v>
      </c>
      <c r="R19" t="s">
        <v>27</v>
      </c>
      <c r="T19">
        <v>49131993</v>
      </c>
      <c r="U19">
        <v>86001041</v>
      </c>
      <c r="V19">
        <v>127213</v>
      </c>
    </row>
    <row r="20" spans="1:22" x14ac:dyDescent="0.2">
      <c r="A20">
        <v>207729021</v>
      </c>
      <c r="B20" t="s">
        <v>197</v>
      </c>
      <c r="F20">
        <v>100</v>
      </c>
      <c r="G20" t="s">
        <v>23</v>
      </c>
      <c r="H20" s="1">
        <v>45721.631944444445</v>
      </c>
      <c r="I20" t="str">
        <f>"0277267"</f>
        <v>0277267</v>
      </c>
      <c r="J20">
        <v>4012</v>
      </c>
      <c r="K20" t="str">
        <f>"0230"</f>
        <v>0230</v>
      </c>
      <c r="L20">
        <v>1</v>
      </c>
      <c r="M20" t="s">
        <v>24</v>
      </c>
      <c r="N20" t="s">
        <v>198</v>
      </c>
      <c r="Q20" t="s">
        <v>26</v>
      </c>
      <c r="R20" t="s">
        <v>27</v>
      </c>
      <c r="T20">
        <v>49131990</v>
      </c>
      <c r="U20">
        <v>86001040</v>
      </c>
      <c r="V20">
        <v>127212</v>
      </c>
    </row>
    <row r="21" spans="1:22" x14ac:dyDescent="0.2">
      <c r="A21">
        <v>316240795</v>
      </c>
      <c r="B21" t="s">
        <v>199</v>
      </c>
      <c r="C21" t="s">
        <v>200</v>
      </c>
      <c r="D21" t="s">
        <v>201</v>
      </c>
      <c r="E21" t="s">
        <v>202</v>
      </c>
      <c r="F21">
        <v>250</v>
      </c>
      <c r="G21" t="s">
        <v>23</v>
      </c>
      <c r="H21" s="1">
        <v>45721.631944444445</v>
      </c>
      <c r="I21" t="str">
        <f>"0293951"</f>
        <v>0293951</v>
      </c>
      <c r="J21">
        <v>5840</v>
      </c>
      <c r="K21">
        <v>1226</v>
      </c>
      <c r="L21">
        <v>1</v>
      </c>
      <c r="M21" t="s">
        <v>24</v>
      </c>
      <c r="N21" t="s">
        <v>203</v>
      </c>
      <c r="Q21" t="s">
        <v>31</v>
      </c>
      <c r="R21" t="s">
        <v>27</v>
      </c>
      <c r="T21">
        <v>49131989</v>
      </c>
      <c r="U21">
        <v>86001039</v>
      </c>
      <c r="V21">
        <v>127211</v>
      </c>
    </row>
    <row r="22" spans="1:22" x14ac:dyDescent="0.2">
      <c r="B22" t="str">
        <f>"0583208595"</f>
        <v>0583208595</v>
      </c>
      <c r="D22" t="s">
        <v>204</v>
      </c>
      <c r="F22">
        <v>30</v>
      </c>
      <c r="G22" t="s">
        <v>23</v>
      </c>
      <c r="H22" s="1">
        <v>45721.631944444445</v>
      </c>
      <c r="I22" t="str">
        <f>"0275738"</f>
        <v>0275738</v>
      </c>
      <c r="J22">
        <v>3100</v>
      </c>
      <c r="K22" t="str">
        <f>"0726"</f>
        <v>0726</v>
      </c>
      <c r="L22">
        <v>1</v>
      </c>
      <c r="N22" t="s">
        <v>61</v>
      </c>
      <c r="Q22" t="s">
        <v>26</v>
      </c>
      <c r="R22" t="s">
        <v>27</v>
      </c>
      <c r="T22">
        <v>49131980</v>
      </c>
      <c r="U22">
        <v>86001038</v>
      </c>
    </row>
    <row r="23" spans="1:22" x14ac:dyDescent="0.2">
      <c r="A23">
        <v>334015955</v>
      </c>
      <c r="B23" t="s">
        <v>194</v>
      </c>
      <c r="F23">
        <v>150</v>
      </c>
      <c r="G23" t="s">
        <v>23</v>
      </c>
      <c r="H23" s="1">
        <v>45721.633333333331</v>
      </c>
      <c r="I23" t="str">
        <f>"0290490"</f>
        <v>0290490</v>
      </c>
      <c r="J23">
        <v>3370</v>
      </c>
      <c r="K23" t="str">
        <f>"0930"</f>
        <v>0930</v>
      </c>
      <c r="L23">
        <v>1</v>
      </c>
      <c r="M23" t="s">
        <v>24</v>
      </c>
      <c r="N23" t="s">
        <v>57</v>
      </c>
      <c r="Q23" t="s">
        <v>31</v>
      </c>
      <c r="R23" t="s">
        <v>27</v>
      </c>
      <c r="T23">
        <v>49132067</v>
      </c>
      <c r="U23">
        <v>86001043</v>
      </c>
      <c r="V23">
        <v>127215</v>
      </c>
    </row>
    <row r="24" spans="1:22" x14ac:dyDescent="0.2">
      <c r="A24">
        <v>327949041</v>
      </c>
      <c r="B24" t="s">
        <v>195</v>
      </c>
      <c r="F24">
        <v>150</v>
      </c>
      <c r="G24" t="s">
        <v>23</v>
      </c>
      <c r="H24" s="1">
        <v>45721.633333333331</v>
      </c>
      <c r="I24" t="str">
        <f>"0289400"</f>
        <v>0289400</v>
      </c>
      <c r="J24">
        <v>2155</v>
      </c>
      <c r="K24" t="str">
        <f>"0325"</f>
        <v>0325</v>
      </c>
      <c r="L24">
        <v>1</v>
      </c>
      <c r="M24" t="s">
        <v>24</v>
      </c>
      <c r="N24" t="s">
        <v>97</v>
      </c>
      <c r="Q24" t="s">
        <v>26</v>
      </c>
      <c r="R24" t="s">
        <v>27</v>
      </c>
      <c r="T24">
        <v>49132062</v>
      </c>
      <c r="U24">
        <v>86001042</v>
      </c>
      <c r="V24">
        <v>127214</v>
      </c>
    </row>
    <row r="25" spans="1:22" x14ac:dyDescent="0.2">
      <c r="A25">
        <v>208972992</v>
      </c>
      <c r="B25" t="s">
        <v>193</v>
      </c>
      <c r="F25">
        <v>20</v>
      </c>
      <c r="G25" t="s">
        <v>23</v>
      </c>
      <c r="H25" s="1">
        <v>45721.635416666664</v>
      </c>
      <c r="I25" t="str">
        <f>"0468595"</f>
        <v>0468595</v>
      </c>
      <c r="J25">
        <v>9118</v>
      </c>
      <c r="K25" t="str">
        <f>"0727"</f>
        <v>0727</v>
      </c>
      <c r="L25">
        <v>1</v>
      </c>
      <c r="M25" t="s">
        <v>24</v>
      </c>
      <c r="N25" t="s">
        <v>193</v>
      </c>
      <c r="Q25" t="s">
        <v>31</v>
      </c>
      <c r="R25" t="s">
        <v>27</v>
      </c>
      <c r="T25">
        <v>49132200</v>
      </c>
      <c r="U25">
        <v>86001044</v>
      </c>
      <c r="V25">
        <v>127216</v>
      </c>
    </row>
    <row r="26" spans="1:22" x14ac:dyDescent="0.2">
      <c r="A26">
        <v>341439040</v>
      </c>
      <c r="B26" t="s">
        <v>189</v>
      </c>
      <c r="C26" t="s">
        <v>190</v>
      </c>
      <c r="D26" t="s">
        <v>191</v>
      </c>
      <c r="E26" t="s">
        <v>192</v>
      </c>
      <c r="F26">
        <v>36</v>
      </c>
      <c r="G26" t="s">
        <v>23</v>
      </c>
      <c r="H26" s="1">
        <v>45721.636805555558</v>
      </c>
      <c r="I26" t="str">
        <f>"0520759"</f>
        <v>0520759</v>
      </c>
      <c r="J26">
        <v>1760</v>
      </c>
      <c r="K26">
        <v>1227</v>
      </c>
      <c r="L26">
        <v>1</v>
      </c>
      <c r="M26" t="s">
        <v>24</v>
      </c>
      <c r="Q26" t="s">
        <v>31</v>
      </c>
      <c r="R26" t="s">
        <v>27</v>
      </c>
      <c r="T26">
        <v>49132254</v>
      </c>
      <c r="U26">
        <v>86001045</v>
      </c>
      <c r="V26">
        <v>127217</v>
      </c>
    </row>
    <row r="27" spans="1:22" x14ac:dyDescent="0.2">
      <c r="A27" t="str">
        <f>"000644310"</f>
        <v>000644310</v>
      </c>
      <c r="B27" t="s">
        <v>183</v>
      </c>
      <c r="C27" t="s">
        <v>184</v>
      </c>
      <c r="D27" t="s">
        <v>185</v>
      </c>
      <c r="E27" t="s">
        <v>186</v>
      </c>
      <c r="F27">
        <v>260</v>
      </c>
      <c r="G27" t="s">
        <v>23</v>
      </c>
      <c r="H27" s="1">
        <v>45721.637499999997</v>
      </c>
      <c r="I27" t="str">
        <f>"0331006"</f>
        <v>0331006</v>
      </c>
      <c r="J27">
        <v>9262</v>
      </c>
      <c r="K27" t="str">
        <f>"0929"</f>
        <v>0929</v>
      </c>
      <c r="L27">
        <v>1</v>
      </c>
      <c r="M27" t="s">
        <v>24</v>
      </c>
      <c r="N27" t="s">
        <v>187</v>
      </c>
      <c r="Q27" t="s">
        <v>26</v>
      </c>
      <c r="R27" t="s">
        <v>27</v>
      </c>
      <c r="T27">
        <v>49132269</v>
      </c>
      <c r="U27">
        <v>86001047</v>
      </c>
      <c r="V27">
        <v>127219</v>
      </c>
    </row>
    <row r="28" spans="1:22" x14ac:dyDescent="0.2">
      <c r="A28">
        <v>325461093</v>
      </c>
      <c r="B28" t="s">
        <v>188</v>
      </c>
      <c r="F28">
        <v>50</v>
      </c>
      <c r="G28" t="s">
        <v>23</v>
      </c>
      <c r="H28" s="1">
        <v>45721.637499999997</v>
      </c>
      <c r="I28">
        <v>90438</v>
      </c>
      <c r="J28">
        <v>3388</v>
      </c>
      <c r="K28" t="str">
        <f>"0927"</f>
        <v>0927</v>
      </c>
      <c r="L28">
        <v>1</v>
      </c>
      <c r="M28" t="s">
        <v>24</v>
      </c>
      <c r="N28" t="s">
        <v>57</v>
      </c>
      <c r="Q28" t="s">
        <v>31</v>
      </c>
      <c r="R28" t="s">
        <v>27</v>
      </c>
      <c r="T28">
        <v>49132263</v>
      </c>
      <c r="U28">
        <v>86001046</v>
      </c>
      <c r="V28">
        <v>127218</v>
      </c>
    </row>
    <row r="29" spans="1:22" x14ac:dyDescent="0.2">
      <c r="A29" t="str">
        <f>"003498706"</f>
        <v>003498706</v>
      </c>
      <c r="B29" t="s">
        <v>182</v>
      </c>
      <c r="F29">
        <v>100</v>
      </c>
      <c r="G29" t="s">
        <v>23</v>
      </c>
      <c r="H29" s="1">
        <v>45721.643055555556</v>
      </c>
      <c r="I29" t="str">
        <f>"0772343"</f>
        <v>0772343</v>
      </c>
      <c r="J29">
        <v>2015</v>
      </c>
      <c r="K29" t="str">
        <f>"0127"</f>
        <v>0127</v>
      </c>
      <c r="L29">
        <v>1</v>
      </c>
      <c r="M29" t="s">
        <v>24</v>
      </c>
      <c r="N29" t="s">
        <v>30</v>
      </c>
      <c r="Q29" t="s">
        <v>31</v>
      </c>
      <c r="R29" t="s">
        <v>27</v>
      </c>
      <c r="T29">
        <v>49132465</v>
      </c>
      <c r="U29">
        <v>86001048</v>
      </c>
      <c r="V29">
        <v>127220</v>
      </c>
    </row>
    <row r="30" spans="1:22" x14ac:dyDescent="0.2">
      <c r="A30">
        <v>328100797</v>
      </c>
      <c r="B30" t="s">
        <v>180</v>
      </c>
      <c r="F30">
        <v>250</v>
      </c>
      <c r="G30" t="s">
        <v>23</v>
      </c>
      <c r="H30" s="1">
        <v>45721.643750000003</v>
      </c>
      <c r="I30" t="str">
        <f>"0808261"</f>
        <v>0808261</v>
      </c>
      <c r="J30">
        <v>4998</v>
      </c>
      <c r="K30">
        <v>1129</v>
      </c>
      <c r="L30">
        <v>1</v>
      </c>
      <c r="M30" t="s">
        <v>24</v>
      </c>
      <c r="N30" t="s">
        <v>181</v>
      </c>
      <c r="Q30" t="s">
        <v>31</v>
      </c>
      <c r="R30" t="s">
        <v>27</v>
      </c>
      <c r="T30">
        <v>49132502</v>
      </c>
      <c r="U30">
        <v>86001049</v>
      </c>
      <c r="V30">
        <v>127221</v>
      </c>
    </row>
    <row r="31" spans="1:22" x14ac:dyDescent="0.2">
      <c r="A31">
        <v>332421726</v>
      </c>
      <c r="B31" t="s">
        <v>173</v>
      </c>
      <c r="C31" t="s">
        <v>174</v>
      </c>
      <c r="D31" t="s">
        <v>175</v>
      </c>
      <c r="E31" t="s">
        <v>176</v>
      </c>
      <c r="F31">
        <v>100</v>
      </c>
      <c r="G31" t="s">
        <v>23</v>
      </c>
      <c r="H31" s="1">
        <v>45721.645833333336</v>
      </c>
      <c r="I31" t="str">
        <f>"0408101"</f>
        <v>0408101</v>
      </c>
      <c r="J31">
        <v>7884</v>
      </c>
      <c r="K31" t="str">
        <f>"0226"</f>
        <v>0226</v>
      </c>
      <c r="L31">
        <v>1</v>
      </c>
      <c r="M31" t="s">
        <v>24</v>
      </c>
      <c r="N31" t="s">
        <v>177</v>
      </c>
      <c r="Q31" t="s">
        <v>26</v>
      </c>
      <c r="R31" t="s">
        <v>27</v>
      </c>
      <c r="T31">
        <v>49132562</v>
      </c>
      <c r="U31">
        <v>86001051</v>
      </c>
      <c r="V31">
        <v>127223</v>
      </c>
    </row>
    <row r="32" spans="1:22" x14ac:dyDescent="0.2">
      <c r="A32">
        <v>307659417</v>
      </c>
      <c r="B32" t="s">
        <v>178</v>
      </c>
      <c r="F32">
        <v>150</v>
      </c>
      <c r="G32" t="s">
        <v>23</v>
      </c>
      <c r="H32" s="1">
        <v>45721.645833333336</v>
      </c>
      <c r="I32" t="str">
        <f>"0407845"</f>
        <v>0407845</v>
      </c>
      <c r="J32">
        <v>9598</v>
      </c>
      <c r="K32" t="str">
        <f>"0230"</f>
        <v>0230</v>
      </c>
      <c r="L32">
        <v>1</v>
      </c>
      <c r="M32" t="s">
        <v>24</v>
      </c>
      <c r="N32" t="s">
        <v>179</v>
      </c>
      <c r="Q32" t="s">
        <v>26</v>
      </c>
      <c r="R32" t="s">
        <v>27</v>
      </c>
      <c r="T32">
        <v>49132559</v>
      </c>
      <c r="U32">
        <v>86001050</v>
      </c>
      <c r="V32">
        <v>127222</v>
      </c>
    </row>
    <row r="33" spans="1:22" x14ac:dyDescent="0.2">
      <c r="A33">
        <v>326683141</v>
      </c>
      <c r="B33" t="s">
        <v>161</v>
      </c>
      <c r="C33" t="s">
        <v>162</v>
      </c>
      <c r="D33" t="s">
        <v>163</v>
      </c>
      <c r="E33" t="s">
        <v>164</v>
      </c>
      <c r="F33">
        <v>51</v>
      </c>
      <c r="G33" t="s">
        <v>23</v>
      </c>
      <c r="H33" s="1">
        <v>45721.647916666669</v>
      </c>
      <c r="I33">
        <v>22914</v>
      </c>
      <c r="J33">
        <v>6224</v>
      </c>
      <c r="K33" t="str">
        <f>"0728"</f>
        <v>0728</v>
      </c>
      <c r="L33">
        <v>1</v>
      </c>
      <c r="M33" t="s">
        <v>24</v>
      </c>
      <c r="N33" t="s">
        <v>165</v>
      </c>
      <c r="Q33" t="s">
        <v>31</v>
      </c>
      <c r="R33" t="s">
        <v>27</v>
      </c>
      <c r="T33">
        <v>49132659</v>
      </c>
      <c r="U33">
        <v>86001054</v>
      </c>
      <c r="V33">
        <v>127226</v>
      </c>
    </row>
    <row r="34" spans="1:22" x14ac:dyDescent="0.2">
      <c r="A34">
        <v>200264562</v>
      </c>
      <c r="B34" t="s">
        <v>166</v>
      </c>
      <c r="C34" t="s">
        <v>167</v>
      </c>
      <c r="D34" t="s">
        <v>168</v>
      </c>
      <c r="E34" t="s">
        <v>169</v>
      </c>
      <c r="F34">
        <v>100</v>
      </c>
      <c r="G34" t="s">
        <v>23</v>
      </c>
      <c r="H34" s="1">
        <v>45721.647916666669</v>
      </c>
      <c r="I34">
        <v>22627</v>
      </c>
      <c r="J34">
        <v>4129</v>
      </c>
      <c r="K34" t="str">
        <f>"0328"</f>
        <v>0328</v>
      </c>
      <c r="L34">
        <v>1</v>
      </c>
      <c r="M34" t="s">
        <v>24</v>
      </c>
      <c r="N34" t="s">
        <v>170</v>
      </c>
      <c r="Q34" t="s">
        <v>31</v>
      </c>
      <c r="R34" t="s">
        <v>27</v>
      </c>
      <c r="T34">
        <v>49132655</v>
      </c>
      <c r="U34">
        <v>86001053</v>
      </c>
      <c r="V34">
        <v>127225</v>
      </c>
    </row>
    <row r="35" spans="1:22" x14ac:dyDescent="0.2">
      <c r="A35">
        <v>348044580</v>
      </c>
      <c r="B35" t="s">
        <v>171</v>
      </c>
      <c r="E35" t="s">
        <v>172</v>
      </c>
      <c r="F35">
        <v>400</v>
      </c>
      <c r="G35" t="s">
        <v>23</v>
      </c>
      <c r="H35" s="1">
        <v>45721.647916666669</v>
      </c>
      <c r="I35">
        <v>22406</v>
      </c>
      <c r="J35">
        <v>1644</v>
      </c>
      <c r="K35" t="str">
        <f>"0228"</f>
        <v>0228</v>
      </c>
      <c r="L35">
        <v>1</v>
      </c>
      <c r="M35" t="s">
        <v>24</v>
      </c>
      <c r="N35" t="s">
        <v>171</v>
      </c>
      <c r="Q35" t="s">
        <v>31</v>
      </c>
      <c r="R35" t="s">
        <v>27</v>
      </c>
      <c r="T35">
        <v>49132651</v>
      </c>
      <c r="U35">
        <v>86001052</v>
      </c>
      <c r="V35">
        <v>127224</v>
      </c>
    </row>
    <row r="36" spans="1:22" x14ac:dyDescent="0.2">
      <c r="A36">
        <v>203282298</v>
      </c>
      <c r="B36" t="s">
        <v>157</v>
      </c>
      <c r="C36" t="s">
        <v>158</v>
      </c>
      <c r="D36" t="s">
        <v>159</v>
      </c>
      <c r="E36" t="s">
        <v>160</v>
      </c>
      <c r="F36">
        <v>50</v>
      </c>
      <c r="G36" t="s">
        <v>23</v>
      </c>
      <c r="H36" s="1">
        <v>45721.65</v>
      </c>
      <c r="I36" t="str">
        <f>"0078568"</f>
        <v>0078568</v>
      </c>
      <c r="J36">
        <v>5135</v>
      </c>
      <c r="K36" t="str">
        <f>"0229"</f>
        <v>0229</v>
      </c>
      <c r="L36">
        <v>1</v>
      </c>
      <c r="M36" t="s">
        <v>24</v>
      </c>
      <c r="N36" t="s">
        <v>96</v>
      </c>
      <c r="Q36" t="s">
        <v>31</v>
      </c>
      <c r="R36" t="s">
        <v>27</v>
      </c>
      <c r="T36">
        <v>49132720</v>
      </c>
      <c r="U36">
        <v>86001055</v>
      </c>
      <c r="V36">
        <v>127227</v>
      </c>
    </row>
    <row r="37" spans="1:22" x14ac:dyDescent="0.2">
      <c r="A37">
        <v>215122961</v>
      </c>
      <c r="B37" t="s">
        <v>156</v>
      </c>
      <c r="F37">
        <v>100</v>
      </c>
      <c r="G37" t="s">
        <v>23</v>
      </c>
      <c r="H37" s="1">
        <v>45721.652083333334</v>
      </c>
      <c r="I37" t="str">
        <f>"0466087"</f>
        <v>0466087</v>
      </c>
      <c r="J37">
        <v>2504</v>
      </c>
      <c r="K37" t="str">
        <f>"0729"</f>
        <v>0729</v>
      </c>
      <c r="L37">
        <v>1</v>
      </c>
      <c r="M37" t="s">
        <v>24</v>
      </c>
      <c r="N37" t="s">
        <v>156</v>
      </c>
      <c r="Q37" t="s">
        <v>26</v>
      </c>
      <c r="R37" t="s">
        <v>27</v>
      </c>
      <c r="T37">
        <v>49132833</v>
      </c>
      <c r="U37">
        <v>86001056</v>
      </c>
      <c r="V37">
        <v>127228</v>
      </c>
    </row>
    <row r="38" spans="1:22" x14ac:dyDescent="0.2">
      <c r="A38">
        <v>214380586</v>
      </c>
      <c r="B38" t="s">
        <v>155</v>
      </c>
      <c r="F38">
        <v>100</v>
      </c>
      <c r="G38" t="s">
        <v>23</v>
      </c>
      <c r="H38" s="1">
        <v>45721.65347222222</v>
      </c>
      <c r="I38">
        <v>37211</v>
      </c>
      <c r="J38">
        <v>9841</v>
      </c>
      <c r="K38" t="str">
        <f>"0527"</f>
        <v>0527</v>
      </c>
      <c r="L38">
        <v>1</v>
      </c>
      <c r="M38" t="s">
        <v>24</v>
      </c>
      <c r="N38" t="s">
        <v>30</v>
      </c>
      <c r="Q38" t="s">
        <v>31</v>
      </c>
      <c r="R38" t="s">
        <v>27</v>
      </c>
      <c r="T38">
        <v>49132901</v>
      </c>
      <c r="U38">
        <v>86001057</v>
      </c>
      <c r="V38">
        <v>127229</v>
      </c>
    </row>
    <row r="39" spans="1:22" x14ac:dyDescent="0.2">
      <c r="A39">
        <v>203493093</v>
      </c>
      <c r="B39" t="s">
        <v>150</v>
      </c>
      <c r="C39" t="s">
        <v>151</v>
      </c>
      <c r="D39" t="s">
        <v>152</v>
      </c>
      <c r="E39" t="s">
        <v>153</v>
      </c>
      <c r="F39">
        <v>50</v>
      </c>
      <c r="G39" t="s">
        <v>23</v>
      </c>
      <c r="H39" s="1">
        <v>45721.654166666667</v>
      </c>
      <c r="I39">
        <v>41018</v>
      </c>
      <c r="J39">
        <v>9622</v>
      </c>
      <c r="K39" t="str">
        <f>"0928"</f>
        <v>0928</v>
      </c>
      <c r="L39">
        <v>1</v>
      </c>
      <c r="M39" t="s">
        <v>24</v>
      </c>
      <c r="N39" t="s">
        <v>154</v>
      </c>
      <c r="Q39" t="s">
        <v>31</v>
      </c>
      <c r="R39" t="s">
        <v>27</v>
      </c>
      <c r="T39">
        <v>49132944</v>
      </c>
      <c r="U39">
        <v>86001058</v>
      </c>
      <c r="V39">
        <v>127230</v>
      </c>
    </row>
    <row r="40" spans="1:22" x14ac:dyDescent="0.2">
      <c r="A40">
        <v>311606586</v>
      </c>
      <c r="B40" t="s">
        <v>145</v>
      </c>
      <c r="C40" t="s">
        <v>146</v>
      </c>
      <c r="D40" t="s">
        <v>147</v>
      </c>
      <c r="E40" t="s">
        <v>148</v>
      </c>
      <c r="F40">
        <v>50</v>
      </c>
      <c r="G40" t="s">
        <v>23</v>
      </c>
      <c r="H40" s="1">
        <v>45721.655555555553</v>
      </c>
      <c r="I40" t="str">
        <f>"0498842"</f>
        <v>0498842</v>
      </c>
      <c r="J40">
        <v>2026</v>
      </c>
      <c r="K40" t="str">
        <f>"0429"</f>
        <v>0429</v>
      </c>
      <c r="L40">
        <v>1</v>
      </c>
      <c r="M40" t="s">
        <v>24</v>
      </c>
      <c r="N40" t="s">
        <v>149</v>
      </c>
      <c r="Q40" t="s">
        <v>26</v>
      </c>
      <c r="R40" t="s">
        <v>27</v>
      </c>
      <c r="T40">
        <v>49132984</v>
      </c>
      <c r="U40">
        <v>86001059</v>
      </c>
      <c r="V40">
        <v>127231</v>
      </c>
    </row>
    <row r="41" spans="1:22" x14ac:dyDescent="0.2">
      <c r="A41">
        <v>325997534</v>
      </c>
      <c r="B41" t="s">
        <v>140</v>
      </c>
      <c r="C41" t="s">
        <v>141</v>
      </c>
      <c r="D41" t="s">
        <v>142</v>
      </c>
      <c r="E41" t="s">
        <v>143</v>
      </c>
      <c r="F41">
        <v>100</v>
      </c>
      <c r="G41" t="s">
        <v>23</v>
      </c>
      <c r="H41" s="1">
        <v>45721.65625</v>
      </c>
      <c r="I41">
        <v>45202</v>
      </c>
      <c r="J41">
        <v>9645</v>
      </c>
      <c r="K41">
        <v>1028</v>
      </c>
      <c r="L41">
        <v>1</v>
      </c>
      <c r="M41" t="s">
        <v>24</v>
      </c>
      <c r="N41" t="s">
        <v>144</v>
      </c>
      <c r="Q41" t="s">
        <v>31</v>
      </c>
      <c r="R41" t="s">
        <v>27</v>
      </c>
      <c r="T41">
        <v>49132988</v>
      </c>
      <c r="U41">
        <v>86001060</v>
      </c>
      <c r="V41">
        <v>127232</v>
      </c>
    </row>
    <row r="42" spans="1:22" x14ac:dyDescent="0.2">
      <c r="B42" t="s">
        <v>138</v>
      </c>
      <c r="E42" t="s">
        <v>139</v>
      </c>
      <c r="F42">
        <v>250</v>
      </c>
      <c r="G42" t="s">
        <v>23</v>
      </c>
      <c r="H42" s="1">
        <v>45721.657638888886</v>
      </c>
      <c r="I42" t="str">
        <f>"0515398"</f>
        <v>0515398</v>
      </c>
      <c r="J42">
        <v>7562</v>
      </c>
      <c r="K42" t="str">
        <f>"0327"</f>
        <v>0327</v>
      </c>
      <c r="L42">
        <v>1</v>
      </c>
      <c r="M42" t="s">
        <v>24</v>
      </c>
      <c r="N42" t="s">
        <v>133</v>
      </c>
      <c r="Q42" t="s">
        <v>26</v>
      </c>
      <c r="R42" t="s">
        <v>27</v>
      </c>
      <c r="T42">
        <v>49133041</v>
      </c>
      <c r="U42">
        <v>86001061</v>
      </c>
      <c r="V42">
        <v>127233</v>
      </c>
    </row>
    <row r="43" spans="1:22" x14ac:dyDescent="0.2">
      <c r="A43">
        <v>317897221</v>
      </c>
      <c r="B43" t="s">
        <v>127</v>
      </c>
      <c r="F43">
        <v>50</v>
      </c>
      <c r="G43" t="s">
        <v>23</v>
      </c>
      <c r="H43" s="1">
        <v>45721.658333333333</v>
      </c>
      <c r="I43" t="str">
        <f>"0522225"</f>
        <v>0522225</v>
      </c>
      <c r="J43">
        <v>3125</v>
      </c>
      <c r="K43" t="str">
        <f>"0530"</f>
        <v>0530</v>
      </c>
      <c r="L43">
        <v>1</v>
      </c>
      <c r="M43" t="s">
        <v>24</v>
      </c>
      <c r="N43" t="s">
        <v>128</v>
      </c>
      <c r="Q43" t="s">
        <v>26</v>
      </c>
      <c r="R43" t="s">
        <v>27</v>
      </c>
      <c r="T43">
        <v>49133071</v>
      </c>
      <c r="U43">
        <v>86001064</v>
      </c>
      <c r="V43">
        <v>127236</v>
      </c>
    </row>
    <row r="44" spans="1:22" x14ac:dyDescent="0.2">
      <c r="A44" t="str">
        <f>"005576970"</f>
        <v>005576970</v>
      </c>
      <c r="B44" t="s">
        <v>129</v>
      </c>
      <c r="C44" t="s">
        <v>130</v>
      </c>
      <c r="D44" t="s">
        <v>131</v>
      </c>
      <c r="E44" t="s">
        <v>132</v>
      </c>
      <c r="F44">
        <v>50</v>
      </c>
      <c r="G44" t="s">
        <v>23</v>
      </c>
      <c r="H44" s="1">
        <v>45721.658333333333</v>
      </c>
      <c r="I44" t="str">
        <f>"0522157"</f>
        <v>0522157</v>
      </c>
      <c r="J44">
        <v>3646</v>
      </c>
      <c r="K44" t="str">
        <f>"0829"</f>
        <v>0829</v>
      </c>
      <c r="L44">
        <v>1</v>
      </c>
      <c r="M44" t="s">
        <v>24</v>
      </c>
      <c r="Q44" t="s">
        <v>26</v>
      </c>
      <c r="R44" t="s">
        <v>27</v>
      </c>
      <c r="T44">
        <v>49133069</v>
      </c>
      <c r="U44">
        <v>86001063</v>
      </c>
      <c r="V44">
        <v>127235</v>
      </c>
    </row>
    <row r="45" spans="1:22" x14ac:dyDescent="0.2">
      <c r="A45">
        <v>328278437</v>
      </c>
      <c r="B45" t="s">
        <v>133</v>
      </c>
      <c r="C45" t="s">
        <v>134</v>
      </c>
      <c r="D45" t="s">
        <v>135</v>
      </c>
      <c r="E45" t="s">
        <v>136</v>
      </c>
      <c r="F45">
        <v>30</v>
      </c>
      <c r="G45" t="s">
        <v>23</v>
      </c>
      <c r="H45" s="1">
        <v>45721.658333333333</v>
      </c>
      <c r="I45" t="str">
        <f>"0521593"</f>
        <v>0521593</v>
      </c>
      <c r="J45">
        <v>5310</v>
      </c>
      <c r="K45" t="str">
        <f>"0830"</f>
        <v>0830</v>
      </c>
      <c r="L45">
        <v>1</v>
      </c>
      <c r="M45" t="s">
        <v>24</v>
      </c>
      <c r="N45" t="s">
        <v>137</v>
      </c>
      <c r="Q45" t="s">
        <v>26</v>
      </c>
      <c r="R45" t="s">
        <v>27</v>
      </c>
      <c r="T45">
        <v>49133065</v>
      </c>
      <c r="U45">
        <v>86001062</v>
      </c>
      <c r="V45">
        <v>127234</v>
      </c>
    </row>
    <row r="46" spans="1:22" x14ac:dyDescent="0.2">
      <c r="A46">
        <v>330904624</v>
      </c>
      <c r="B46" t="s">
        <v>126</v>
      </c>
      <c r="F46">
        <v>300</v>
      </c>
      <c r="G46" t="s">
        <v>23</v>
      </c>
      <c r="H46" s="1">
        <v>45721.65902777778</v>
      </c>
      <c r="I46">
        <v>149029</v>
      </c>
      <c r="J46">
        <v>7646</v>
      </c>
      <c r="K46" t="str">
        <f>"0827"</f>
        <v>0827</v>
      </c>
      <c r="L46">
        <v>1</v>
      </c>
      <c r="M46" t="s">
        <v>24</v>
      </c>
      <c r="N46" t="s">
        <v>126</v>
      </c>
      <c r="Q46" t="s">
        <v>31</v>
      </c>
      <c r="R46" t="s">
        <v>27</v>
      </c>
      <c r="T46">
        <v>49133099</v>
      </c>
      <c r="U46">
        <v>86001065</v>
      </c>
      <c r="V46">
        <v>127237</v>
      </c>
    </row>
    <row r="47" spans="1:22" x14ac:dyDescent="0.2">
      <c r="A47">
        <v>309908283</v>
      </c>
      <c r="B47" t="s">
        <v>121</v>
      </c>
      <c r="C47" t="s">
        <v>122</v>
      </c>
      <c r="D47" t="s">
        <v>123</v>
      </c>
      <c r="E47" t="s">
        <v>124</v>
      </c>
      <c r="F47">
        <v>180</v>
      </c>
      <c r="G47" t="s">
        <v>23</v>
      </c>
      <c r="H47" s="1">
        <v>45721.659722222219</v>
      </c>
      <c r="I47" t="str">
        <f>"0498501"</f>
        <v>0498501</v>
      </c>
      <c r="J47">
        <v>1233</v>
      </c>
      <c r="K47" t="str">
        <f>"0826"</f>
        <v>0826</v>
      </c>
      <c r="L47">
        <v>1</v>
      </c>
      <c r="M47" t="s">
        <v>24</v>
      </c>
      <c r="Q47" t="s">
        <v>31</v>
      </c>
      <c r="R47" t="s">
        <v>27</v>
      </c>
      <c r="T47">
        <v>49133124</v>
      </c>
      <c r="U47">
        <v>86001067</v>
      </c>
      <c r="V47">
        <v>127239</v>
      </c>
    </row>
    <row r="48" spans="1:22" x14ac:dyDescent="0.2">
      <c r="A48">
        <v>205482300</v>
      </c>
      <c r="B48" t="s">
        <v>125</v>
      </c>
      <c r="F48">
        <v>100</v>
      </c>
      <c r="G48" t="s">
        <v>23</v>
      </c>
      <c r="H48" s="1">
        <v>45721.659722222219</v>
      </c>
      <c r="I48" t="str">
        <f>"0532881"</f>
        <v>0532881</v>
      </c>
      <c r="J48">
        <v>8917</v>
      </c>
      <c r="K48" t="str">
        <f>"0729"</f>
        <v>0729</v>
      </c>
      <c r="L48">
        <v>1</v>
      </c>
      <c r="M48" t="s">
        <v>24</v>
      </c>
      <c r="N48" t="s">
        <v>25</v>
      </c>
      <c r="Q48" t="s">
        <v>26</v>
      </c>
      <c r="R48" t="s">
        <v>27</v>
      </c>
      <c r="T48">
        <v>49133107</v>
      </c>
      <c r="U48">
        <v>86001066</v>
      </c>
      <c r="V48">
        <v>127238</v>
      </c>
    </row>
    <row r="49" spans="1:22" x14ac:dyDescent="0.2">
      <c r="A49">
        <v>326064755</v>
      </c>
      <c r="B49" t="s">
        <v>113</v>
      </c>
      <c r="C49" t="s">
        <v>114</v>
      </c>
      <c r="D49" t="s">
        <v>115</v>
      </c>
      <c r="E49" t="s">
        <v>116</v>
      </c>
      <c r="F49">
        <v>100</v>
      </c>
      <c r="G49" t="s">
        <v>23</v>
      </c>
      <c r="H49" s="1">
        <v>45721.660416666666</v>
      </c>
      <c r="I49" t="str">
        <f>"0000000"</f>
        <v>0000000</v>
      </c>
      <c r="J49" t="str">
        <f>"0515"</f>
        <v>0515</v>
      </c>
      <c r="L49">
        <v>1</v>
      </c>
      <c r="M49" t="s">
        <v>24</v>
      </c>
      <c r="N49" t="s">
        <v>117</v>
      </c>
      <c r="Q49" t="s">
        <v>118</v>
      </c>
      <c r="R49">
        <v>30</v>
      </c>
      <c r="T49">
        <v>49133157</v>
      </c>
      <c r="V49">
        <v>127241</v>
      </c>
    </row>
    <row r="50" spans="1:22" x14ac:dyDescent="0.2">
      <c r="A50">
        <v>302519434</v>
      </c>
      <c r="B50" t="s">
        <v>119</v>
      </c>
      <c r="F50">
        <v>200</v>
      </c>
      <c r="G50" t="s">
        <v>23</v>
      </c>
      <c r="H50" s="1">
        <v>45721.660416666666</v>
      </c>
      <c r="I50" t="str">
        <f>"0539272"</f>
        <v>0539272</v>
      </c>
      <c r="J50">
        <v>3373</v>
      </c>
      <c r="K50" t="str">
        <f>"0927"</f>
        <v>0927</v>
      </c>
      <c r="L50">
        <v>1</v>
      </c>
      <c r="M50" t="s">
        <v>24</v>
      </c>
      <c r="N50" t="s">
        <v>120</v>
      </c>
      <c r="Q50" t="s">
        <v>26</v>
      </c>
      <c r="R50" t="s">
        <v>27</v>
      </c>
      <c r="T50">
        <v>49133132</v>
      </c>
      <c r="U50">
        <v>86001068</v>
      </c>
      <c r="V50">
        <v>127240</v>
      </c>
    </row>
    <row r="51" spans="1:22" x14ac:dyDescent="0.2">
      <c r="A51" t="str">
        <f>"032272098"</f>
        <v>032272098</v>
      </c>
      <c r="B51" t="s">
        <v>95</v>
      </c>
      <c r="F51">
        <v>100</v>
      </c>
      <c r="G51" t="s">
        <v>23</v>
      </c>
      <c r="H51" s="1">
        <v>45721.661805555559</v>
      </c>
      <c r="I51" t="str">
        <f>"0554278"</f>
        <v>0554278</v>
      </c>
      <c r="J51">
        <v>4127</v>
      </c>
      <c r="K51" t="str">
        <f>"0630"</f>
        <v>0630</v>
      </c>
      <c r="L51">
        <v>1</v>
      </c>
      <c r="M51" t="s">
        <v>24</v>
      </c>
      <c r="N51" t="s">
        <v>96</v>
      </c>
      <c r="Q51" t="s">
        <v>26</v>
      </c>
      <c r="R51" t="s">
        <v>27</v>
      </c>
      <c r="T51">
        <v>49133209</v>
      </c>
      <c r="U51">
        <v>86001070</v>
      </c>
      <c r="V51">
        <v>127243</v>
      </c>
    </row>
    <row r="52" spans="1:22" x14ac:dyDescent="0.2">
      <c r="A52">
        <v>325437788</v>
      </c>
      <c r="B52" t="s">
        <v>108</v>
      </c>
      <c r="C52" t="s">
        <v>109</v>
      </c>
      <c r="D52" t="s">
        <v>110</v>
      </c>
      <c r="E52" t="s">
        <v>111</v>
      </c>
      <c r="F52">
        <v>95</v>
      </c>
      <c r="G52" t="s">
        <v>23</v>
      </c>
      <c r="H52" s="1">
        <v>45721.661805555559</v>
      </c>
      <c r="I52" t="str">
        <f>"0554257"</f>
        <v>0554257</v>
      </c>
      <c r="J52">
        <v>7987</v>
      </c>
      <c r="K52" t="str">
        <f>"0930"</f>
        <v>0930</v>
      </c>
      <c r="L52">
        <v>1</v>
      </c>
      <c r="M52" t="s">
        <v>24</v>
      </c>
      <c r="N52" t="s">
        <v>112</v>
      </c>
      <c r="Q52" t="s">
        <v>26</v>
      </c>
      <c r="R52" t="s">
        <v>27</v>
      </c>
      <c r="T52">
        <v>49133208</v>
      </c>
      <c r="U52">
        <v>86001069</v>
      </c>
      <c r="V52">
        <v>127242</v>
      </c>
    </row>
    <row r="53" spans="1:22" x14ac:dyDescent="0.2">
      <c r="A53">
        <v>209917376</v>
      </c>
      <c r="B53" t="s">
        <v>97</v>
      </c>
      <c r="F53">
        <v>100</v>
      </c>
      <c r="G53" t="s">
        <v>23</v>
      </c>
      <c r="H53" s="1">
        <v>45721.663194444445</v>
      </c>
      <c r="I53" t="str">
        <f>"0630442"</f>
        <v>0630442</v>
      </c>
      <c r="J53">
        <v>2160</v>
      </c>
      <c r="K53">
        <v>1129</v>
      </c>
      <c r="L53">
        <v>1</v>
      </c>
      <c r="M53" t="s">
        <v>24</v>
      </c>
      <c r="N53" t="s">
        <v>97</v>
      </c>
      <c r="Q53" t="s">
        <v>26</v>
      </c>
      <c r="R53" t="s">
        <v>27</v>
      </c>
      <c r="T53">
        <v>49133261</v>
      </c>
      <c r="U53">
        <v>86001073</v>
      </c>
      <c r="V53">
        <v>127246</v>
      </c>
    </row>
    <row r="54" spans="1:22" x14ac:dyDescent="0.2">
      <c r="B54" t="s">
        <v>98</v>
      </c>
      <c r="C54" t="s">
        <v>99</v>
      </c>
      <c r="D54" t="str">
        <f>"0041774651683"</f>
        <v>0041774651683</v>
      </c>
      <c r="E54" t="s">
        <v>100</v>
      </c>
      <c r="F54">
        <v>250</v>
      </c>
      <c r="G54" t="s">
        <v>23</v>
      </c>
      <c r="H54" s="1">
        <v>45721.663194444445</v>
      </c>
      <c r="I54" t="s">
        <v>101</v>
      </c>
      <c r="J54">
        <v>4904</v>
      </c>
      <c r="K54" t="str">
        <f>"0427"</f>
        <v>0427</v>
      </c>
      <c r="L54">
        <v>1</v>
      </c>
      <c r="M54" t="s">
        <v>24</v>
      </c>
      <c r="N54" t="s">
        <v>102</v>
      </c>
      <c r="Q54" t="s">
        <v>31</v>
      </c>
      <c r="R54" t="s">
        <v>27</v>
      </c>
      <c r="T54">
        <v>49133257</v>
      </c>
      <c r="U54">
        <v>86001072</v>
      </c>
      <c r="V54">
        <v>127245</v>
      </c>
    </row>
    <row r="55" spans="1:22" x14ac:dyDescent="0.2">
      <c r="A55">
        <v>327124202</v>
      </c>
      <c r="B55" t="s">
        <v>103</v>
      </c>
      <c r="C55" t="s">
        <v>104</v>
      </c>
      <c r="D55" t="s">
        <v>105</v>
      </c>
      <c r="E55" t="s">
        <v>106</v>
      </c>
      <c r="F55">
        <v>50</v>
      </c>
      <c r="G55" t="s">
        <v>23</v>
      </c>
      <c r="H55" s="1">
        <v>45721.663194444445</v>
      </c>
      <c r="I55" t="str">
        <f>"0564152"</f>
        <v>0564152</v>
      </c>
      <c r="J55">
        <v>3992</v>
      </c>
      <c r="K55" t="str">
        <f>"0230"</f>
        <v>0230</v>
      </c>
      <c r="L55">
        <v>1</v>
      </c>
      <c r="M55" t="s">
        <v>24</v>
      </c>
      <c r="N55" t="s">
        <v>107</v>
      </c>
      <c r="Q55" t="s">
        <v>26</v>
      </c>
      <c r="R55" t="s">
        <v>27</v>
      </c>
      <c r="T55">
        <v>49133252</v>
      </c>
      <c r="U55">
        <v>86001071</v>
      </c>
      <c r="V55">
        <v>127244</v>
      </c>
    </row>
    <row r="56" spans="1:22" x14ac:dyDescent="0.2">
      <c r="A56">
        <v>215809773</v>
      </c>
      <c r="B56" t="s">
        <v>94</v>
      </c>
      <c r="F56">
        <v>50</v>
      </c>
      <c r="G56" t="s">
        <v>23</v>
      </c>
      <c r="H56" s="1">
        <v>45721.663888888892</v>
      </c>
      <c r="I56" t="str">
        <f>"0575234"</f>
        <v>0575234</v>
      </c>
      <c r="J56">
        <v>9669</v>
      </c>
      <c r="K56" t="str">
        <f>"0829"</f>
        <v>0829</v>
      </c>
      <c r="L56">
        <v>1</v>
      </c>
      <c r="M56" t="s">
        <v>24</v>
      </c>
      <c r="N56" t="s">
        <v>94</v>
      </c>
      <c r="Q56" t="s">
        <v>26</v>
      </c>
      <c r="R56" t="s">
        <v>27</v>
      </c>
      <c r="T56">
        <v>49133308</v>
      </c>
      <c r="U56">
        <v>86001075</v>
      </c>
      <c r="V56">
        <v>127248</v>
      </c>
    </row>
    <row r="57" spans="1:22" x14ac:dyDescent="0.2">
      <c r="A57" t="str">
        <f>"032272098"</f>
        <v>032272098</v>
      </c>
      <c r="B57" t="s">
        <v>95</v>
      </c>
      <c r="F57">
        <v>99</v>
      </c>
      <c r="G57" t="s">
        <v>23</v>
      </c>
      <c r="H57" s="1">
        <v>45721.663888888892</v>
      </c>
      <c r="I57" t="str">
        <f>"0571129"</f>
        <v>0571129</v>
      </c>
      <c r="J57">
        <v>4127</v>
      </c>
      <c r="K57" t="str">
        <f>"0630"</f>
        <v>0630</v>
      </c>
      <c r="L57">
        <v>1</v>
      </c>
      <c r="M57" t="s">
        <v>24</v>
      </c>
      <c r="N57" t="s">
        <v>96</v>
      </c>
      <c r="Q57" t="s">
        <v>26</v>
      </c>
      <c r="R57" t="s">
        <v>27</v>
      </c>
      <c r="T57">
        <v>49133280</v>
      </c>
      <c r="U57">
        <v>86001074</v>
      </c>
      <c r="V57">
        <v>127247</v>
      </c>
    </row>
    <row r="58" spans="1:22" x14ac:dyDescent="0.2">
      <c r="A58">
        <v>319241592</v>
      </c>
      <c r="B58" t="s">
        <v>92</v>
      </c>
      <c r="F58">
        <v>500</v>
      </c>
      <c r="G58" t="s">
        <v>23</v>
      </c>
      <c r="H58" s="1">
        <v>45721.665277777778</v>
      </c>
      <c r="I58">
        <v>71522</v>
      </c>
      <c r="J58">
        <v>5825</v>
      </c>
      <c r="K58">
        <v>1230</v>
      </c>
      <c r="L58">
        <v>1</v>
      </c>
      <c r="M58" t="s">
        <v>24</v>
      </c>
      <c r="Q58" t="s">
        <v>31</v>
      </c>
      <c r="R58" t="s">
        <v>27</v>
      </c>
      <c r="T58">
        <v>49133364</v>
      </c>
      <c r="U58">
        <v>86001077</v>
      </c>
      <c r="V58">
        <v>127250</v>
      </c>
    </row>
    <row r="59" spans="1:22" x14ac:dyDescent="0.2">
      <c r="A59">
        <v>817732907</v>
      </c>
      <c r="B59" t="s">
        <v>93</v>
      </c>
      <c r="F59">
        <v>180</v>
      </c>
      <c r="G59" t="s">
        <v>23</v>
      </c>
      <c r="H59" s="1">
        <v>45721.665277777778</v>
      </c>
      <c r="I59" t="str">
        <f>"0583644"</f>
        <v>0583644</v>
      </c>
      <c r="J59">
        <v>1806</v>
      </c>
      <c r="K59">
        <v>1029</v>
      </c>
      <c r="L59">
        <v>1</v>
      </c>
      <c r="M59" t="s">
        <v>24</v>
      </c>
      <c r="N59" t="s">
        <v>94</v>
      </c>
      <c r="Q59" t="s">
        <v>26</v>
      </c>
      <c r="R59" t="s">
        <v>27</v>
      </c>
      <c r="T59">
        <v>49133363</v>
      </c>
      <c r="U59">
        <v>86001076</v>
      </c>
      <c r="V59">
        <v>127249</v>
      </c>
    </row>
    <row r="60" spans="1:22" x14ac:dyDescent="0.2">
      <c r="A60">
        <v>327201323</v>
      </c>
      <c r="B60" t="s">
        <v>90</v>
      </c>
      <c r="F60">
        <v>50</v>
      </c>
      <c r="G60" t="s">
        <v>23</v>
      </c>
      <c r="H60" s="1">
        <v>45721.668055555558</v>
      </c>
      <c r="I60" t="str">
        <f>"0820944"</f>
        <v>0820944</v>
      </c>
      <c r="J60">
        <v>2362</v>
      </c>
      <c r="K60" t="str">
        <f>"0730"</f>
        <v>0730</v>
      </c>
      <c r="L60">
        <v>1</v>
      </c>
      <c r="M60" t="s">
        <v>24</v>
      </c>
      <c r="N60" t="s">
        <v>91</v>
      </c>
      <c r="Q60" t="s">
        <v>26</v>
      </c>
      <c r="R60" t="s">
        <v>27</v>
      </c>
      <c r="T60">
        <v>49133488</v>
      </c>
      <c r="U60">
        <v>86001078</v>
      </c>
      <c r="V60">
        <v>127251</v>
      </c>
    </row>
    <row r="61" spans="1:22" x14ac:dyDescent="0.2">
      <c r="A61" t="str">
        <f>"038760955"</f>
        <v>038760955</v>
      </c>
      <c r="B61" t="s">
        <v>85</v>
      </c>
      <c r="C61" t="s">
        <v>86</v>
      </c>
      <c r="D61" t="s">
        <v>87</v>
      </c>
      <c r="E61" t="s">
        <v>88</v>
      </c>
      <c r="F61">
        <v>350</v>
      </c>
      <c r="G61" t="s">
        <v>23</v>
      </c>
      <c r="H61" s="1">
        <v>45721.669444444444</v>
      </c>
      <c r="I61" t="str">
        <f>"0885624"</f>
        <v>0885624</v>
      </c>
      <c r="J61">
        <v>8562</v>
      </c>
      <c r="K61" t="str">
        <f>"0829"</f>
        <v>0829</v>
      </c>
      <c r="L61">
        <v>1</v>
      </c>
      <c r="M61" t="s">
        <v>24</v>
      </c>
      <c r="Q61" t="s">
        <v>26</v>
      </c>
      <c r="R61" t="s">
        <v>27</v>
      </c>
      <c r="T61">
        <v>49133553</v>
      </c>
      <c r="U61">
        <v>86001080</v>
      </c>
      <c r="V61">
        <v>127253</v>
      </c>
    </row>
    <row r="62" spans="1:22" x14ac:dyDescent="0.2">
      <c r="A62">
        <v>213991268</v>
      </c>
      <c r="B62" t="s">
        <v>89</v>
      </c>
      <c r="F62">
        <v>15</v>
      </c>
      <c r="G62" t="s">
        <v>23</v>
      </c>
      <c r="H62" s="1">
        <v>45721.669444444444</v>
      </c>
      <c r="I62" t="str">
        <f>"0619360"</f>
        <v>0619360</v>
      </c>
      <c r="J62" t="str">
        <f>"0331"</f>
        <v>0331</v>
      </c>
      <c r="K62" t="str">
        <f>"0230"</f>
        <v>0230</v>
      </c>
      <c r="L62">
        <v>1</v>
      </c>
      <c r="M62" t="s">
        <v>24</v>
      </c>
      <c r="N62" t="s">
        <v>55</v>
      </c>
      <c r="Q62" t="s">
        <v>26</v>
      </c>
      <c r="R62" t="s">
        <v>27</v>
      </c>
      <c r="T62">
        <v>49133543</v>
      </c>
      <c r="U62">
        <v>86001079</v>
      </c>
      <c r="V62">
        <v>127252</v>
      </c>
    </row>
    <row r="63" spans="1:22" x14ac:dyDescent="0.2">
      <c r="A63">
        <v>322356908</v>
      </c>
      <c r="B63" t="s">
        <v>82</v>
      </c>
      <c r="F63">
        <v>100</v>
      </c>
      <c r="G63" t="s">
        <v>23</v>
      </c>
      <c r="H63" s="1">
        <v>45721.670138888891</v>
      </c>
      <c r="I63" t="str">
        <f>"0928267"</f>
        <v>0928267</v>
      </c>
      <c r="J63">
        <v>8385</v>
      </c>
      <c r="K63" t="str">
        <f>"0628"</f>
        <v>0628</v>
      </c>
      <c r="L63">
        <v>1</v>
      </c>
      <c r="M63" t="s">
        <v>24</v>
      </c>
      <c r="N63" t="s">
        <v>55</v>
      </c>
      <c r="Q63" t="s">
        <v>31</v>
      </c>
      <c r="R63" t="s">
        <v>27</v>
      </c>
      <c r="T63">
        <v>49133578</v>
      </c>
      <c r="U63">
        <v>86001082</v>
      </c>
      <c r="V63">
        <v>127255</v>
      </c>
    </row>
    <row r="64" spans="1:22" x14ac:dyDescent="0.2">
      <c r="A64" t="str">
        <f>"038236956"</f>
        <v>038236956</v>
      </c>
      <c r="B64" t="s">
        <v>83</v>
      </c>
      <c r="F64">
        <v>100</v>
      </c>
      <c r="G64" t="s">
        <v>23</v>
      </c>
      <c r="H64" s="1">
        <v>45721.670138888891</v>
      </c>
      <c r="I64" t="str">
        <f>"0917401"</f>
        <v>0917401</v>
      </c>
      <c r="J64">
        <v>6326</v>
      </c>
      <c r="K64" t="str">
        <f>"0629"</f>
        <v>0629</v>
      </c>
      <c r="L64">
        <v>1</v>
      </c>
      <c r="M64" t="s">
        <v>24</v>
      </c>
      <c r="N64" t="s">
        <v>84</v>
      </c>
      <c r="Q64" t="s">
        <v>31</v>
      </c>
      <c r="R64" t="s">
        <v>27</v>
      </c>
      <c r="T64">
        <v>49133571</v>
      </c>
      <c r="U64">
        <v>86001081</v>
      </c>
      <c r="V64">
        <v>127254</v>
      </c>
    </row>
    <row r="65" spans="1:22" x14ac:dyDescent="0.2">
      <c r="A65" t="str">
        <f>"002039960"</f>
        <v>002039960</v>
      </c>
      <c r="B65" t="s">
        <v>28</v>
      </c>
      <c r="F65">
        <v>100</v>
      </c>
      <c r="G65" t="s">
        <v>23</v>
      </c>
      <c r="H65" s="1">
        <v>45721.672222222223</v>
      </c>
      <c r="I65" t="str">
        <f>"0993956"</f>
        <v>0993956</v>
      </c>
      <c r="J65">
        <v>5464</v>
      </c>
      <c r="K65" t="str">
        <f>"0828"</f>
        <v>0828</v>
      </c>
      <c r="L65" t="s">
        <v>81</v>
      </c>
      <c r="M65" t="s">
        <v>24</v>
      </c>
      <c r="N65" t="s">
        <v>30</v>
      </c>
      <c r="Q65" t="s">
        <v>31</v>
      </c>
      <c r="R65" t="s">
        <v>27</v>
      </c>
      <c r="T65">
        <v>49133633</v>
      </c>
      <c r="U65">
        <v>86001083</v>
      </c>
      <c r="V65">
        <v>127256</v>
      </c>
    </row>
    <row r="66" spans="1:22" x14ac:dyDescent="0.2">
      <c r="B66" t="s">
        <v>75</v>
      </c>
      <c r="C66" t="s">
        <v>76</v>
      </c>
      <c r="D66" t="s">
        <v>77</v>
      </c>
      <c r="E66" t="s">
        <v>78</v>
      </c>
      <c r="F66">
        <v>500</v>
      </c>
      <c r="G66" t="s">
        <v>23</v>
      </c>
      <c r="H66" s="1">
        <v>45721.67291666667</v>
      </c>
      <c r="I66" t="str">
        <f>"0653716"</f>
        <v>0653716</v>
      </c>
      <c r="J66">
        <v>3286</v>
      </c>
      <c r="K66" t="str">
        <f>"0730"</f>
        <v>0730</v>
      </c>
      <c r="L66">
        <v>1</v>
      </c>
      <c r="M66" t="s">
        <v>24</v>
      </c>
      <c r="N66" t="s">
        <v>75</v>
      </c>
      <c r="Q66" t="s">
        <v>31</v>
      </c>
      <c r="R66" t="s">
        <v>27</v>
      </c>
      <c r="T66">
        <v>49133664</v>
      </c>
      <c r="U66">
        <v>86001085</v>
      </c>
      <c r="V66">
        <v>127258</v>
      </c>
    </row>
    <row r="67" spans="1:22" x14ac:dyDescent="0.2">
      <c r="A67" t="str">
        <f>"038409801"</f>
        <v>038409801</v>
      </c>
      <c r="B67" t="s">
        <v>79</v>
      </c>
      <c r="F67">
        <v>100</v>
      </c>
      <c r="G67" t="s">
        <v>23</v>
      </c>
      <c r="H67" s="1">
        <v>45721.67291666667</v>
      </c>
      <c r="I67" t="str">
        <f>"0022459"</f>
        <v>0022459</v>
      </c>
      <c r="J67">
        <v>9461</v>
      </c>
      <c r="K67" t="str">
        <f>"0827"</f>
        <v>0827</v>
      </c>
      <c r="L67">
        <v>1</v>
      </c>
      <c r="M67" t="s">
        <v>24</v>
      </c>
      <c r="N67" t="s">
        <v>80</v>
      </c>
      <c r="Q67" t="s">
        <v>31</v>
      </c>
      <c r="R67" t="s">
        <v>27</v>
      </c>
      <c r="T67">
        <v>49133659</v>
      </c>
      <c r="U67">
        <v>86001084</v>
      </c>
      <c r="V67">
        <v>127257</v>
      </c>
    </row>
    <row r="68" spans="1:22" x14ac:dyDescent="0.2">
      <c r="B68" t="s">
        <v>73</v>
      </c>
      <c r="F68">
        <v>50</v>
      </c>
      <c r="G68" t="s">
        <v>23</v>
      </c>
      <c r="H68" s="1">
        <v>45721.674305555556</v>
      </c>
      <c r="I68">
        <v>97860</v>
      </c>
      <c r="J68">
        <v>9827</v>
      </c>
      <c r="K68">
        <v>1030</v>
      </c>
      <c r="L68">
        <v>1</v>
      </c>
      <c r="M68" t="s">
        <v>24</v>
      </c>
      <c r="N68" t="s">
        <v>74</v>
      </c>
      <c r="Q68" t="s">
        <v>31</v>
      </c>
      <c r="R68" t="s">
        <v>27</v>
      </c>
      <c r="T68">
        <v>49133700</v>
      </c>
      <c r="U68">
        <v>86001086</v>
      </c>
      <c r="V68">
        <v>127259</v>
      </c>
    </row>
    <row r="69" spans="1:22" x14ac:dyDescent="0.2">
      <c r="B69" t="str">
        <f>"0534101607"</f>
        <v>0534101607</v>
      </c>
      <c r="D69" t="s">
        <v>60</v>
      </c>
      <c r="F69">
        <v>50</v>
      </c>
      <c r="G69" t="s">
        <v>23</v>
      </c>
      <c r="H69" s="1">
        <v>45721.677083333336</v>
      </c>
      <c r="I69" t="str">
        <f>"0693890"</f>
        <v>0693890</v>
      </c>
      <c r="J69">
        <v>8957</v>
      </c>
      <c r="K69">
        <v>1027</v>
      </c>
      <c r="L69">
        <v>1</v>
      </c>
      <c r="N69" t="s">
        <v>61</v>
      </c>
      <c r="Q69" t="s">
        <v>26</v>
      </c>
      <c r="R69" t="s">
        <v>27</v>
      </c>
      <c r="T69">
        <v>49133806</v>
      </c>
      <c r="U69">
        <v>86001090</v>
      </c>
    </row>
    <row r="70" spans="1:22" x14ac:dyDescent="0.2">
      <c r="A70" t="str">
        <f>"024364077"</f>
        <v>024364077</v>
      </c>
      <c r="B70" t="s">
        <v>62</v>
      </c>
      <c r="F70">
        <v>100</v>
      </c>
      <c r="G70" t="s">
        <v>23</v>
      </c>
      <c r="H70" s="1">
        <v>45721.677083333336</v>
      </c>
      <c r="I70" t="str">
        <f>"0691790"</f>
        <v>0691790</v>
      </c>
      <c r="J70">
        <v>3403</v>
      </c>
      <c r="K70" t="str">
        <f>"0231"</f>
        <v>0231</v>
      </c>
      <c r="L70">
        <v>1</v>
      </c>
      <c r="M70" t="s">
        <v>24</v>
      </c>
      <c r="N70" t="s">
        <v>63</v>
      </c>
      <c r="Q70" t="s">
        <v>26</v>
      </c>
      <c r="R70" t="s">
        <v>27</v>
      </c>
      <c r="T70">
        <v>49133798</v>
      </c>
      <c r="U70">
        <v>86001089</v>
      </c>
      <c r="V70">
        <v>127262</v>
      </c>
    </row>
    <row r="71" spans="1:22" x14ac:dyDescent="0.2">
      <c r="A71">
        <v>214869364</v>
      </c>
      <c r="B71" t="s">
        <v>64</v>
      </c>
      <c r="C71" t="s">
        <v>65</v>
      </c>
      <c r="D71" t="s">
        <v>66</v>
      </c>
      <c r="E71" t="s">
        <v>67</v>
      </c>
      <c r="F71">
        <v>100</v>
      </c>
      <c r="G71" t="s">
        <v>23</v>
      </c>
      <c r="H71" s="1">
        <v>45721.677083333336</v>
      </c>
      <c r="I71">
        <v>6100</v>
      </c>
      <c r="J71">
        <v>5847</v>
      </c>
      <c r="K71" t="str">
        <f>"0926"</f>
        <v>0926</v>
      </c>
      <c r="L71">
        <v>1</v>
      </c>
      <c r="M71" t="s">
        <v>24</v>
      </c>
      <c r="N71" t="s">
        <v>68</v>
      </c>
      <c r="Q71" t="s">
        <v>31</v>
      </c>
      <c r="R71" t="s">
        <v>27</v>
      </c>
      <c r="T71">
        <v>49133792</v>
      </c>
      <c r="U71">
        <v>86001088</v>
      </c>
      <c r="V71">
        <v>127261</v>
      </c>
    </row>
    <row r="72" spans="1:22" x14ac:dyDescent="0.2">
      <c r="A72">
        <v>326659794</v>
      </c>
      <c r="B72" t="s">
        <v>69</v>
      </c>
      <c r="C72" t="s">
        <v>70</v>
      </c>
      <c r="D72" t="s">
        <v>71</v>
      </c>
      <c r="E72" t="s">
        <v>72</v>
      </c>
      <c r="F72">
        <v>100</v>
      </c>
      <c r="G72" t="s">
        <v>23</v>
      </c>
      <c r="H72" s="1">
        <v>45721.677083333336</v>
      </c>
      <c r="I72" t="str">
        <f>"0689062"</f>
        <v>0689062</v>
      </c>
      <c r="J72" t="str">
        <f>"0674"</f>
        <v>0674</v>
      </c>
      <c r="K72">
        <v>1027</v>
      </c>
      <c r="L72">
        <v>1</v>
      </c>
      <c r="M72" t="s">
        <v>24</v>
      </c>
      <c r="Q72" t="s">
        <v>26</v>
      </c>
      <c r="R72" t="s">
        <v>27</v>
      </c>
      <c r="T72">
        <v>49133787</v>
      </c>
      <c r="U72">
        <v>86001087</v>
      </c>
      <c r="V72">
        <v>127260</v>
      </c>
    </row>
    <row r="73" spans="1:22" x14ac:dyDescent="0.2">
      <c r="A73">
        <v>328432992</v>
      </c>
      <c r="B73" t="s">
        <v>58</v>
      </c>
      <c r="F73">
        <v>20</v>
      </c>
      <c r="G73" t="s">
        <v>23</v>
      </c>
      <c r="H73" s="1">
        <v>45721.677777777775</v>
      </c>
      <c r="I73" t="str">
        <f>"0699848"</f>
        <v>0699848</v>
      </c>
      <c r="J73">
        <v>7924</v>
      </c>
      <c r="K73" t="str">
        <f>"0830"</f>
        <v>0830</v>
      </c>
      <c r="L73">
        <v>1</v>
      </c>
      <c r="M73" t="s">
        <v>24</v>
      </c>
      <c r="N73" t="s">
        <v>59</v>
      </c>
      <c r="Q73" t="s">
        <v>31</v>
      </c>
      <c r="R73" t="s">
        <v>27</v>
      </c>
      <c r="T73">
        <v>49133831</v>
      </c>
      <c r="U73">
        <v>86001091</v>
      </c>
      <c r="V73">
        <v>127263</v>
      </c>
    </row>
    <row r="74" spans="1:22" x14ac:dyDescent="0.2">
      <c r="A74">
        <v>334015955</v>
      </c>
      <c r="B74" t="s">
        <v>56</v>
      </c>
      <c r="F74">
        <v>25</v>
      </c>
      <c r="G74" t="s">
        <v>23</v>
      </c>
      <c r="H74" s="1">
        <v>45721.678472222222</v>
      </c>
      <c r="I74" t="str">
        <f>"0702519"</f>
        <v>0702519</v>
      </c>
      <c r="J74">
        <v>3370</v>
      </c>
      <c r="K74" t="str">
        <f>"0930"</f>
        <v>0930</v>
      </c>
      <c r="L74">
        <v>1</v>
      </c>
      <c r="M74" t="s">
        <v>24</v>
      </c>
      <c r="N74" t="s">
        <v>57</v>
      </c>
      <c r="Q74" t="s">
        <v>31</v>
      </c>
      <c r="R74" t="s">
        <v>27</v>
      </c>
      <c r="T74">
        <v>49133845</v>
      </c>
      <c r="U74">
        <v>86001092</v>
      </c>
      <c r="V74">
        <v>127264</v>
      </c>
    </row>
    <row r="75" spans="1:22" x14ac:dyDescent="0.2">
      <c r="A75">
        <v>329182935</v>
      </c>
      <c r="B75" t="s">
        <v>53</v>
      </c>
      <c r="F75">
        <v>20</v>
      </c>
      <c r="G75" t="s">
        <v>23</v>
      </c>
      <c r="H75" s="1">
        <v>45721.679166666669</v>
      </c>
      <c r="I75" t="str">
        <f>"0713407"</f>
        <v>0713407</v>
      </c>
      <c r="J75">
        <v>6184</v>
      </c>
      <c r="K75" t="str">
        <f>"0630"</f>
        <v>0630</v>
      </c>
      <c r="L75">
        <v>1</v>
      </c>
      <c r="M75" t="s">
        <v>24</v>
      </c>
      <c r="N75" t="s">
        <v>25</v>
      </c>
      <c r="Q75" t="s">
        <v>31</v>
      </c>
      <c r="R75" t="s">
        <v>27</v>
      </c>
      <c r="T75">
        <v>49133900</v>
      </c>
      <c r="U75">
        <v>86001094</v>
      </c>
      <c r="V75">
        <v>127266</v>
      </c>
    </row>
    <row r="76" spans="1:22" x14ac:dyDescent="0.2">
      <c r="A76">
        <v>213342835</v>
      </c>
      <c r="B76" t="s">
        <v>54</v>
      </c>
      <c r="F76">
        <v>50</v>
      </c>
      <c r="G76" t="s">
        <v>23</v>
      </c>
      <c r="H76" s="1">
        <v>45721.679166666669</v>
      </c>
      <c r="I76" t="str">
        <f>"0713309"</f>
        <v>0713309</v>
      </c>
      <c r="J76">
        <v>6287</v>
      </c>
      <c r="K76">
        <v>1127</v>
      </c>
      <c r="L76">
        <v>1</v>
      </c>
      <c r="M76" t="s">
        <v>24</v>
      </c>
      <c r="N76" t="s">
        <v>55</v>
      </c>
      <c r="Q76" t="s">
        <v>26</v>
      </c>
      <c r="R76" t="s">
        <v>27</v>
      </c>
      <c r="T76">
        <v>49133898</v>
      </c>
      <c r="U76">
        <v>86001093</v>
      </c>
      <c r="V76">
        <v>127265</v>
      </c>
    </row>
    <row r="77" spans="1:22" x14ac:dyDescent="0.2">
      <c r="A77">
        <v>327137840</v>
      </c>
      <c r="B77" t="s">
        <v>50</v>
      </c>
      <c r="F77">
        <v>363</v>
      </c>
      <c r="G77" t="s">
        <v>23</v>
      </c>
      <c r="H77" s="1">
        <v>45721.680555555555</v>
      </c>
      <c r="I77" t="s">
        <v>51</v>
      </c>
      <c r="J77">
        <v>6605</v>
      </c>
      <c r="K77">
        <v>1127</v>
      </c>
      <c r="L77">
        <v>1</v>
      </c>
      <c r="M77" t="s">
        <v>24</v>
      </c>
      <c r="N77" t="s">
        <v>52</v>
      </c>
      <c r="Q77" t="s">
        <v>31</v>
      </c>
      <c r="R77" t="s">
        <v>27</v>
      </c>
      <c r="T77">
        <v>49133963</v>
      </c>
      <c r="U77">
        <v>86001095</v>
      </c>
      <c r="V77">
        <v>127267</v>
      </c>
    </row>
    <row r="78" spans="1:22" x14ac:dyDescent="0.2">
      <c r="A78">
        <v>215603747</v>
      </c>
      <c r="B78" t="s">
        <v>48</v>
      </c>
      <c r="F78">
        <v>20</v>
      </c>
      <c r="G78" t="s">
        <v>23</v>
      </c>
      <c r="H78" s="1">
        <v>45721.681250000001</v>
      </c>
      <c r="I78" t="str">
        <f>"0382101"</f>
        <v>0382101</v>
      </c>
      <c r="J78" t="str">
        <f>"0249"</f>
        <v>0249</v>
      </c>
      <c r="K78" t="str">
        <f>"0329"</f>
        <v>0329</v>
      </c>
      <c r="L78">
        <v>1</v>
      </c>
      <c r="M78" t="s">
        <v>24</v>
      </c>
      <c r="N78" t="s">
        <v>49</v>
      </c>
      <c r="Q78" t="s">
        <v>31</v>
      </c>
      <c r="R78" t="s">
        <v>27</v>
      </c>
      <c r="T78">
        <v>49133978</v>
      </c>
      <c r="U78">
        <v>86001096</v>
      </c>
      <c r="V78">
        <v>127268</v>
      </c>
    </row>
    <row r="79" spans="1:22" x14ac:dyDescent="0.2">
      <c r="A79">
        <v>212860647</v>
      </c>
      <c r="B79" t="s">
        <v>45</v>
      </c>
      <c r="C79" t="s">
        <v>46</v>
      </c>
      <c r="F79">
        <v>26</v>
      </c>
      <c r="G79" t="s">
        <v>23</v>
      </c>
      <c r="H79" s="1">
        <v>45752.591666666667</v>
      </c>
      <c r="I79" t="str">
        <f>"0500199"</f>
        <v>0500199</v>
      </c>
      <c r="J79">
        <v>5031</v>
      </c>
      <c r="K79" t="str">
        <f>"0830"</f>
        <v>0830</v>
      </c>
      <c r="L79" t="s">
        <v>29</v>
      </c>
      <c r="M79" t="s">
        <v>24</v>
      </c>
      <c r="N79" t="s">
        <v>47</v>
      </c>
      <c r="Q79" t="s">
        <v>31</v>
      </c>
      <c r="R79" t="s">
        <v>27</v>
      </c>
      <c r="T79">
        <v>49129945</v>
      </c>
      <c r="U79">
        <v>86001014</v>
      </c>
    </row>
    <row r="80" spans="1:22" x14ac:dyDescent="0.2">
      <c r="A80" t="str">
        <f>"032106212"</f>
        <v>032106212</v>
      </c>
      <c r="B80" t="s">
        <v>22</v>
      </c>
      <c r="F80">
        <v>100</v>
      </c>
      <c r="G80" t="s">
        <v>23</v>
      </c>
      <c r="H80" s="1">
        <v>45752.602083333331</v>
      </c>
      <c r="I80" t="str">
        <f>"0995886"</f>
        <v>0995886</v>
      </c>
      <c r="J80">
        <v>8160</v>
      </c>
      <c r="K80" t="str">
        <f>"0830"</f>
        <v>0830</v>
      </c>
      <c r="L80" t="s">
        <v>44</v>
      </c>
      <c r="M80" t="s">
        <v>24</v>
      </c>
      <c r="N80" t="s">
        <v>25</v>
      </c>
      <c r="Q80" t="s">
        <v>26</v>
      </c>
      <c r="R80" t="s">
        <v>27</v>
      </c>
      <c r="T80">
        <v>49130558</v>
      </c>
      <c r="U80">
        <v>86001021</v>
      </c>
    </row>
    <row r="81" spans="1:21" x14ac:dyDescent="0.2">
      <c r="A81">
        <v>303095533</v>
      </c>
      <c r="B81" t="s">
        <v>39</v>
      </c>
      <c r="C81" t="s">
        <v>40</v>
      </c>
      <c r="D81" t="s">
        <v>41</v>
      </c>
      <c r="E81" t="s">
        <v>42</v>
      </c>
      <c r="F81">
        <v>125</v>
      </c>
      <c r="G81" t="s">
        <v>23</v>
      </c>
      <c r="H81" s="1">
        <v>45752.622916666667</v>
      </c>
      <c r="I81" t="str">
        <f>"0915223"</f>
        <v>0915223</v>
      </c>
      <c r="J81">
        <v>7233</v>
      </c>
      <c r="K81" t="str">
        <f>"0825"</f>
        <v>0825</v>
      </c>
      <c r="L81" t="s">
        <v>29</v>
      </c>
      <c r="M81" t="s">
        <v>24</v>
      </c>
      <c r="N81" t="s">
        <v>43</v>
      </c>
      <c r="Q81" t="s">
        <v>31</v>
      </c>
      <c r="R81" t="s">
        <v>27</v>
      </c>
      <c r="T81">
        <v>49131589</v>
      </c>
      <c r="U81">
        <v>86001026</v>
      </c>
    </row>
    <row r="82" spans="1:21" x14ac:dyDescent="0.2">
      <c r="A82" t="str">
        <f>"057052037"</f>
        <v>057052037</v>
      </c>
      <c r="B82" t="s">
        <v>37</v>
      </c>
      <c r="F82">
        <v>180</v>
      </c>
      <c r="G82" t="s">
        <v>23</v>
      </c>
      <c r="H82" s="1">
        <v>45752.625</v>
      </c>
      <c r="I82" t="str">
        <f>"0993345"</f>
        <v>0993345</v>
      </c>
      <c r="J82">
        <v>1215</v>
      </c>
      <c r="K82" t="str">
        <f>"0127"</f>
        <v>0127</v>
      </c>
      <c r="L82" t="s">
        <v>29</v>
      </c>
      <c r="M82" t="s">
        <v>24</v>
      </c>
      <c r="N82" t="s">
        <v>38</v>
      </c>
      <c r="Q82" t="s">
        <v>31</v>
      </c>
      <c r="R82" t="s">
        <v>27</v>
      </c>
      <c r="T82">
        <v>49131666</v>
      </c>
      <c r="U82">
        <v>86001027</v>
      </c>
    </row>
    <row r="83" spans="1:21" x14ac:dyDescent="0.2">
      <c r="A83">
        <v>301464137</v>
      </c>
      <c r="B83" t="s">
        <v>32</v>
      </c>
      <c r="C83" t="s">
        <v>33</v>
      </c>
      <c r="D83" t="s">
        <v>34</v>
      </c>
      <c r="E83" t="s">
        <v>35</v>
      </c>
      <c r="F83">
        <v>350</v>
      </c>
      <c r="G83" t="s">
        <v>23</v>
      </c>
      <c r="H83" s="1">
        <v>45752.628472222219</v>
      </c>
      <c r="I83" t="str">
        <f>"0161950"</f>
        <v>0161950</v>
      </c>
      <c r="J83">
        <v>2614</v>
      </c>
      <c r="K83" t="str">
        <f>"0430"</f>
        <v>0430</v>
      </c>
      <c r="L83" t="s">
        <v>29</v>
      </c>
      <c r="M83" t="s">
        <v>24</v>
      </c>
      <c r="N83" t="s">
        <v>36</v>
      </c>
      <c r="Q83" t="s">
        <v>31</v>
      </c>
      <c r="R83" t="s">
        <v>27</v>
      </c>
      <c r="T83">
        <v>49131853</v>
      </c>
      <c r="U83">
        <v>86001032</v>
      </c>
    </row>
    <row r="84" spans="1:21" x14ac:dyDescent="0.2">
      <c r="A84" t="str">
        <f>"002039960"</f>
        <v>002039960</v>
      </c>
      <c r="B84" t="s">
        <v>28</v>
      </c>
      <c r="F84">
        <v>100</v>
      </c>
      <c r="G84" t="s">
        <v>23</v>
      </c>
      <c r="H84" s="1">
        <v>45752.672222222223</v>
      </c>
      <c r="I84" t="str">
        <f>"0993956"</f>
        <v>0993956</v>
      </c>
      <c r="J84">
        <v>5464</v>
      </c>
      <c r="K84" t="str">
        <f>"0828"</f>
        <v>0828</v>
      </c>
      <c r="L84" t="s">
        <v>29</v>
      </c>
      <c r="M84" t="s">
        <v>24</v>
      </c>
      <c r="N84" t="s">
        <v>30</v>
      </c>
      <c r="Q84" t="s">
        <v>31</v>
      </c>
      <c r="R84" t="s">
        <v>27</v>
      </c>
      <c r="T84">
        <v>49133634</v>
      </c>
      <c r="U84">
        <v>86001083</v>
      </c>
    </row>
  </sheetData>
  <autoFilter ref="A1:V84">
    <sortState ref="A2:V84">
      <sortCondition ref="H1:H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ExportHistory_05.03.25_04.03.26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2025-03-05T14:27:02Z</dcterms:created>
  <dcterms:modified xsi:type="dcterms:W3CDTF">2025-03-05T14:27:02Z</dcterms:modified>
</cp:coreProperties>
</file>