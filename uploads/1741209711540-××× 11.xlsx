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tshi_k\Desktop\"/>
    </mc:Choice>
  </mc:AlternateContent>
  <xr:revisionPtr revIDLastSave="0" documentId="13_ncr:40009_{A74D18AD-0E07-4F0A-A1DD-050B5A7FCD27}" xr6:coauthVersionLast="36" xr6:coauthVersionMax="36" xr10:uidLastSave="{00000000-0000-0000-0000-000000000000}"/>
  <bookViews>
    <workbookView xWindow="0" yWindow="0" windowWidth="28800" windowHeight="12255"/>
  </bookViews>
  <sheets>
    <sheet name="ExportHistory_01.03.25_05.03.25" sheetId="1" r:id="rId1"/>
  </sheets>
  <definedNames>
    <definedName name="_xlnm._FilterDatabase" localSheetId="0" hidden="1">ExportHistory_01.03.25_05.03.25!$A$1:$V$42</definedName>
  </definedNames>
  <calcPr calcId="0"/>
</workbook>
</file>

<file path=xl/calcChain.xml><?xml version="1.0" encoding="utf-8"?>
<calcChain xmlns="http://schemas.openxmlformats.org/spreadsheetml/2006/main">
  <c r="A41" i="1" l="1"/>
  <c r="K41" i="1"/>
  <c r="A42" i="1"/>
  <c r="K42" i="1"/>
  <c r="I39" i="1"/>
  <c r="K39" i="1"/>
  <c r="K40" i="1"/>
  <c r="A36" i="1"/>
  <c r="I36" i="1"/>
  <c r="K36" i="1"/>
  <c r="I37" i="1"/>
  <c r="K37" i="1"/>
  <c r="I35" i="1"/>
  <c r="I32" i="1"/>
  <c r="K32" i="1"/>
  <c r="A33" i="1"/>
  <c r="K33" i="1"/>
  <c r="K34" i="1"/>
  <c r="K31" i="1"/>
  <c r="I30" i="1"/>
  <c r="K30" i="1"/>
  <c r="I28" i="1"/>
  <c r="K28" i="1"/>
  <c r="K29" i="1"/>
  <c r="I25" i="1"/>
  <c r="K25" i="1"/>
  <c r="A26" i="1"/>
  <c r="I26" i="1"/>
  <c r="K26" i="1"/>
  <c r="I24" i="1"/>
  <c r="K23" i="1"/>
  <c r="J22" i="1"/>
  <c r="K22" i="1"/>
  <c r="I20" i="1"/>
  <c r="K20" i="1"/>
  <c r="A21" i="1"/>
  <c r="K21" i="1"/>
  <c r="J19" i="1"/>
  <c r="K19" i="1"/>
  <c r="J18" i="1"/>
  <c r="A17" i="1"/>
  <c r="I16" i="1"/>
  <c r="K16" i="1"/>
  <c r="J15" i="1"/>
  <c r="K15" i="1"/>
  <c r="A14" i="1"/>
  <c r="K14" i="1"/>
  <c r="A12" i="1"/>
  <c r="K12" i="1"/>
  <c r="J13" i="1"/>
  <c r="K13" i="1"/>
  <c r="K11" i="1"/>
  <c r="A10" i="1"/>
  <c r="K10" i="1"/>
  <c r="K9" i="1"/>
  <c r="A7" i="1"/>
  <c r="K7" i="1"/>
  <c r="K5" i="1"/>
  <c r="I6" i="1"/>
  <c r="J6" i="1"/>
  <c r="K2" i="1"/>
  <c r="I3" i="1"/>
  <c r="K3" i="1"/>
  <c r="A4" i="1"/>
  <c r="I4" i="1"/>
  <c r="K4" i="1"/>
</calcChain>
</file>

<file path=xl/sharedStrings.xml><?xml version="1.0" encoding="utf-8"?>
<sst xmlns="http://schemas.openxmlformats.org/spreadsheetml/2006/main" count="320" uniqueCount="155">
  <si>
    <t>מספר זהות</t>
  </si>
  <si>
    <t>שם</t>
  </si>
  <si>
    <t>כתובת</t>
  </si>
  <si>
    <t>טלפון</t>
  </si>
  <si>
    <t>מייל</t>
  </si>
  <si>
    <t>סכום</t>
  </si>
  <si>
    <t>מטבע</t>
  </si>
  <si>
    <t>תאריך עסקה</t>
  </si>
  <si>
    <t>מספר אישור</t>
  </si>
  <si>
    <t>4 ספרות אחרונות</t>
  </si>
  <si>
    <t>תוקף</t>
  </si>
  <si>
    <t>תשלומים</t>
  </si>
  <si>
    <t>קטגוריה</t>
  </si>
  <si>
    <t>הערות</t>
  </si>
  <si>
    <t>שם מסוף</t>
  </si>
  <si>
    <t>מספר מסוף</t>
  </si>
  <si>
    <t>מותג</t>
  </si>
  <si>
    <t>חברה סולקת</t>
  </si>
  <si>
    <t>מספר הו"ק</t>
  </si>
  <si>
    <t>מספר עסקה</t>
  </si>
  <si>
    <t>מספר שובר</t>
  </si>
  <si>
    <t>מספר קבלה</t>
  </si>
  <si>
    <t xml:space="preserve">יהודה וינברג </t>
  </si>
  <si>
    <t>yweinberg@aish.com</t>
  </si>
  <si>
    <t>שקל</t>
  </si>
  <si>
    <t>קמפיין הכנסת כלה תשפ"ה</t>
  </si>
  <si>
    <t>ויזה</t>
  </si>
  <si>
    <t>ישראכרט</t>
  </si>
  <si>
    <t>יונגר יעל</t>
  </si>
  <si>
    <t>הדף היומי 25 דירה 2 ביתר עילית</t>
  </si>
  <si>
    <t>054-8454658</t>
  </si>
  <si>
    <t>yaelyunger@gmail.com</t>
  </si>
  <si>
    <t xml:space="preserve"> 04273Z</t>
  </si>
  <si>
    <t>שושנה שפירא</t>
  </si>
  <si>
    <t>מסטרכרד</t>
  </si>
  <si>
    <t>חנה לאה</t>
  </si>
  <si>
    <t xml:space="preserve">חנה לאה </t>
  </si>
  <si>
    <t>מרים בדזין (שפיגלר)</t>
  </si>
  <si>
    <t>יוסף חיים ירושלים</t>
  </si>
  <si>
    <t>052-7656133</t>
  </si>
  <si>
    <t>miriamspigler@gmail.com</t>
  </si>
  <si>
    <t>הני כהן</t>
  </si>
  <si>
    <t xml:space="preserve"> טייב</t>
  </si>
  <si>
    <t>הודיה טייב</t>
  </si>
  <si>
    <t>גרשון פרוש</t>
  </si>
  <si>
    <t>אברהם אדלזון 26/7 ירושלים</t>
  </si>
  <si>
    <t>054-5664983</t>
  </si>
  <si>
    <t>gporush1@gmail.com</t>
  </si>
  <si>
    <t>שם המתרימה- לילה (תהילה) שטרייכער. מחיה'לה פרוש. נא לשלוח קבלה מוכרת למס</t>
  </si>
  <si>
    <t>רותי קרנובסקי</t>
  </si>
  <si>
    <t>דסי פעלד</t>
  </si>
  <si>
    <t>חגית אדרי</t>
  </si>
  <si>
    <t>ברכה רפאלי</t>
  </si>
  <si>
    <t>יוהנה פייקר</t>
  </si>
  <si>
    <t>הדר דהאן</t>
  </si>
  <si>
    <t>חוה רוט</t>
  </si>
  <si>
    <t>שרה רחל אברהם</t>
  </si>
  <si>
    <t>גלילה בן דיין</t>
  </si>
  <si>
    <t>ריש לקיש 11 בית שמש</t>
  </si>
  <si>
    <t>050-8625656</t>
  </si>
  <si>
    <t>galilahamra@gmail.com</t>
  </si>
  <si>
    <t>חפציבה חמרה</t>
  </si>
  <si>
    <t>נעה רווח</t>
  </si>
  <si>
    <t>noam17001130@gmail.com</t>
  </si>
  <si>
    <t>אביבה טרופ</t>
  </si>
  <si>
    <t>אורה עברון</t>
  </si>
  <si>
    <t>אבוחצירא תהילה</t>
  </si>
  <si>
    <t>יחזקאל הנביא 3 בית שמש</t>
  </si>
  <si>
    <t>053-4138554</t>
  </si>
  <si>
    <t>h0534138554@gmail.com</t>
  </si>
  <si>
    <t>חנה פרץ</t>
  </si>
  <si>
    <t>סתיו</t>
  </si>
  <si>
    <t>שמואל הנביא 39 ירושלים</t>
  </si>
  <si>
    <t>055-6745891</t>
  </si>
  <si>
    <t>sp0507335777@gmail.com</t>
  </si>
  <si>
    <t>שירה והדסה ילניק</t>
  </si>
  <si>
    <t>נחמה נאור</t>
  </si>
  <si>
    <t>אביגיל נאור</t>
  </si>
  <si>
    <t>איילת כהן פייקר</t>
  </si>
  <si>
    <t>ברוריה כהן</t>
  </si>
  <si>
    <t>הדס שמואל</t>
  </si>
  <si>
    <t>למכירה סינית</t>
  </si>
  <si>
    <t>רננה שוימר</t>
  </si>
  <si>
    <t>הרב שך 46 ביתר עילית</t>
  </si>
  <si>
    <t>058-3263650</t>
  </si>
  <si>
    <t>renanoosh222@gmail.com</t>
  </si>
  <si>
    <t>העברה בקליק</t>
  </si>
  <si>
    <t>אילה דרמר</t>
  </si>
  <si>
    <t>הדס מוריה</t>
  </si>
  <si>
    <t>אגן האילות 60 גבעת זאב גבעת זאב</t>
  </si>
  <si>
    <t>055-6783347</t>
  </si>
  <si>
    <t>moriya.h3347@gmail.com</t>
  </si>
  <si>
    <t>שרי פלדמן דירה 8 ממוריה הדס</t>
  </si>
  <si>
    <t>אתי וסרמן</t>
  </si>
  <si>
    <t>רות אזולאי</t>
  </si>
  <si>
    <t>Lang Moshe A. and Esther</t>
  </si>
  <si>
    <t>Allschwilerstrasse 62 Basel</t>
  </si>
  <si>
    <t>ma.lang.basel@gmail.com</t>
  </si>
  <si>
    <t>יוסי ויוכבד וורצמן</t>
  </si>
  <si>
    <t>אורי בן ארי 2 ירושלים</t>
  </si>
  <si>
    <t>053-3142676</t>
  </si>
  <si>
    <t>yocheved2676@gmail.com</t>
  </si>
  <si>
    <t xml:space="preserve">יהודית צאלים האלופהההה!!!!!!!! </t>
  </si>
  <si>
    <t>טובה רנה נוסבכר</t>
  </si>
  <si>
    <t>נחל רפאים 21/6 רמת בית שמש א</t>
  </si>
  <si>
    <t>055-9112449</t>
  </si>
  <si>
    <t>trnusbacher@gmail.com</t>
  </si>
  <si>
    <t>רות חיה יואליס התרימה אותי ;)</t>
  </si>
  <si>
    <t>יהונתן ואסתר דיין</t>
  </si>
  <si>
    <t>משה זילברג 28 בית וגן</t>
  </si>
  <si>
    <t>053-3169567</t>
  </si>
  <si>
    <t>silveraesther15@gmail.com</t>
  </si>
  <si>
    <t>תמר סרויה</t>
  </si>
  <si>
    <t>מכירה סינית</t>
  </si>
  <si>
    <t>שמואל נדב</t>
  </si>
  <si>
    <t>טורנר</t>
  </si>
  <si>
    <t>החלוצים 21 דירה 5 בני ברק</t>
  </si>
  <si>
    <t>053-3100831</t>
  </si>
  <si>
    <t>mic05331@gmail.com</t>
  </si>
  <si>
    <t>המתרימה בתיה איסטרין המתוקה</t>
  </si>
  <si>
    <t>בן יוסף שמעון</t>
  </si>
  <si>
    <t>צפרירים 13/8 ים</t>
  </si>
  <si>
    <t>02-5867706</t>
  </si>
  <si>
    <t>d5867706@gmail.com</t>
  </si>
  <si>
    <t>מתרימה יהודית צאלים דירה וילה</t>
  </si>
  <si>
    <t>שומרי החומות רמות ד׳</t>
  </si>
  <si>
    <t>נעמה כהן</t>
  </si>
  <si>
    <t>נעה רווח-הכנסת כלה עבור יתומות בלבד!!</t>
  </si>
  <si>
    <t>יעל שלום</t>
  </si>
  <si>
    <t>בורוכוב 9 רעננה</t>
  </si>
  <si>
    <t>הודיה שלום</t>
  </si>
  <si>
    <t>קרן חן</t>
  </si>
  <si>
    <t>יהלי חן</t>
  </si>
  <si>
    <t>צופיה טייב</t>
  </si>
  <si>
    <t>אילה בלוק</t>
  </si>
  <si>
    <t>ריקי רוט</t>
  </si>
  <si>
    <t>רמת הגולן 33, 3 ירושלים</t>
  </si>
  <si>
    <t>050-6265036</t>
  </si>
  <si>
    <t>mr2521@gmail.com</t>
  </si>
  <si>
    <t>לילה שטרייכר</t>
  </si>
  <si>
    <t>אביגיל סולימני</t>
  </si>
  <si>
    <t>שרה סולימני</t>
  </si>
  <si>
    <t>איציק לוי</t>
  </si>
  <si>
    <t>שולמית לוי</t>
  </si>
  <si>
    <t>לורוס חזן</t>
  </si>
  <si>
    <t>שרה הילבלום</t>
  </si>
  <si>
    <t>שרה אהרונוב</t>
  </si>
  <si>
    <t>נהר הירקון 13/1 בית שמש</t>
  </si>
  <si>
    <t>050-8492299</t>
  </si>
  <si>
    <t>saraharonov@gmail.com</t>
  </si>
  <si>
    <t>אתי איינשטיין</t>
  </si>
  <si>
    <t>פנים מאירים 25/1 ביתר עילית</t>
  </si>
  <si>
    <t>058-4437792</t>
  </si>
  <si>
    <t>eti10035@gmail.com</t>
  </si>
  <si>
    <t>נועה איינשטיין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</si>
</sst>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rightToLeft="1" tabSelected="1" topLeftCell="A16" workbookViewId="0">
      <selection activeCell="G18" sqref="G18"/>
    </sheetView>
  </sheetViews>
  <sheetFormatPr defaultRowHeight="14.25" x14ac:dyDescent="0.2"/>
  <cols>
    <col min="1" max="1" width="11.125" bestFit="1" customWidth="1"/>
    <col min="2" max="2" width="22.625" bestFit="1" customWidth="1"/>
    <col min="3" max="3" width="57.875" bestFit="1" customWidth="1"/>
    <col min="4" max="4" width="14" bestFit="1" customWidth="1"/>
    <col min="5" max="5" width="29" bestFit="1" customWidth="1"/>
    <col min="6" max="6" width="6.875" bestFit="1" customWidth="1"/>
    <col min="7" max="7" width="7.125" bestFit="1" customWidth="1"/>
    <col min="8" max="8" width="15" bestFit="1" customWidth="1"/>
    <col min="9" max="9" width="11.625" bestFit="1" customWidth="1"/>
    <col min="10" max="10" width="15.5" bestFit="1" customWidth="1"/>
    <col min="11" max="11" width="6.625" bestFit="1" customWidth="1"/>
    <col min="12" max="12" width="9.25" bestFit="1" customWidth="1"/>
    <col min="13" max="13" width="20" bestFit="1" customWidth="1"/>
    <col min="14" max="14" width="77" bestFit="1" customWidth="1"/>
    <col min="15" max="15" width="37" bestFit="1" customWidth="1"/>
    <col min="16" max="16" width="11.375" bestFit="1" customWidth="1"/>
    <col min="17" max="17" width="12.5" bestFit="1" customWidth="1"/>
    <col min="18" max="18" width="12.25" bestFit="1" customWidth="1"/>
    <col min="19" max="19" width="10.75" bestFit="1" customWidth="1"/>
    <col min="20" max="20" width="11.875" bestFit="1" customWidth="1"/>
    <col min="21" max="21" width="11.25" bestFit="1" customWidth="1"/>
    <col min="22" max="22" width="11.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>
        <v>332379064</v>
      </c>
      <c r="B2" t="s">
        <v>146</v>
      </c>
      <c r="C2" t="s">
        <v>147</v>
      </c>
      <c r="D2" t="s">
        <v>148</v>
      </c>
      <c r="E2" t="s">
        <v>149</v>
      </c>
      <c r="F2">
        <v>50</v>
      </c>
      <c r="G2" t="s">
        <v>24</v>
      </c>
      <c r="H2" s="1">
        <v>45721.947222222225</v>
      </c>
      <c r="I2">
        <v>2784208</v>
      </c>
      <c r="J2">
        <v>2522</v>
      </c>
      <c r="K2" t="str">
        <f>"0629"</f>
        <v>0629</v>
      </c>
      <c r="L2">
        <v>1</v>
      </c>
      <c r="M2" t="s">
        <v>25</v>
      </c>
      <c r="N2" t="s">
        <v>61</v>
      </c>
      <c r="Q2" t="s">
        <v>34</v>
      </c>
      <c r="R2" t="s">
        <v>27</v>
      </c>
      <c r="T2">
        <v>49149926</v>
      </c>
      <c r="U2">
        <v>86001503</v>
      </c>
      <c r="V2">
        <v>127681</v>
      </c>
    </row>
    <row r="3" spans="1:22" x14ac:dyDescent="0.2">
      <c r="B3" t="s">
        <v>134</v>
      </c>
      <c r="F3">
        <v>50</v>
      </c>
      <c r="G3" t="s">
        <v>24</v>
      </c>
      <c r="H3" s="1">
        <v>45721.947222222225</v>
      </c>
      <c r="I3" t="str">
        <f>"0717611"</f>
        <v>0717611</v>
      </c>
      <c r="J3">
        <v>5171</v>
      </c>
      <c r="K3" t="str">
        <f>"0329"</f>
        <v>0329</v>
      </c>
      <c r="L3">
        <v>1</v>
      </c>
      <c r="M3" t="s">
        <v>25</v>
      </c>
      <c r="N3" t="s">
        <v>134</v>
      </c>
      <c r="Q3" t="s">
        <v>26</v>
      </c>
      <c r="R3" t="s">
        <v>27</v>
      </c>
      <c r="T3">
        <v>49149911</v>
      </c>
      <c r="U3">
        <v>86001502</v>
      </c>
      <c r="V3">
        <v>127680</v>
      </c>
    </row>
    <row r="4" spans="1:22" x14ac:dyDescent="0.2">
      <c r="A4" t="str">
        <f>"061264032"</f>
        <v>061264032</v>
      </c>
      <c r="B4" t="s">
        <v>150</v>
      </c>
      <c r="C4" t="s">
        <v>151</v>
      </c>
      <c r="D4" t="s">
        <v>152</v>
      </c>
      <c r="E4" t="s">
        <v>153</v>
      </c>
      <c r="F4">
        <v>200</v>
      </c>
      <c r="G4" t="s">
        <v>24</v>
      </c>
      <c r="H4" s="1">
        <v>45721.947222222225</v>
      </c>
      <c r="I4" t="str">
        <f>"0716076"</f>
        <v>0716076</v>
      </c>
      <c r="J4">
        <v>9850</v>
      </c>
      <c r="K4" t="str">
        <f>"0629"</f>
        <v>0629</v>
      </c>
      <c r="L4">
        <v>1</v>
      </c>
      <c r="M4" t="s">
        <v>25</v>
      </c>
      <c r="N4" t="s">
        <v>154</v>
      </c>
      <c r="Q4" t="s">
        <v>26</v>
      </c>
      <c r="R4" t="s">
        <v>27</v>
      </c>
      <c r="T4">
        <v>49149905</v>
      </c>
      <c r="U4">
        <v>86001501</v>
      </c>
      <c r="V4">
        <v>127679</v>
      </c>
    </row>
    <row r="5" spans="1:22" x14ac:dyDescent="0.2">
      <c r="B5" t="s">
        <v>142</v>
      </c>
      <c r="F5">
        <v>100</v>
      </c>
      <c r="G5" t="s">
        <v>24</v>
      </c>
      <c r="H5" s="1">
        <v>45721.947916666664</v>
      </c>
      <c r="I5">
        <v>76944</v>
      </c>
      <c r="J5">
        <v>6429</v>
      </c>
      <c r="K5" t="str">
        <f>"0130"</f>
        <v>0130</v>
      </c>
      <c r="L5">
        <v>1</v>
      </c>
      <c r="M5" t="s">
        <v>25</v>
      </c>
      <c r="N5" t="s">
        <v>143</v>
      </c>
      <c r="Q5" t="s">
        <v>26</v>
      </c>
      <c r="R5" t="s">
        <v>27</v>
      </c>
      <c r="T5">
        <v>49149999</v>
      </c>
      <c r="U5">
        <v>86001505</v>
      </c>
      <c r="V5">
        <v>127683</v>
      </c>
    </row>
    <row r="6" spans="1:22" x14ac:dyDescent="0.2">
      <c r="B6" t="s">
        <v>144</v>
      </c>
      <c r="F6">
        <v>100</v>
      </c>
      <c r="G6" t="s">
        <v>24</v>
      </c>
      <c r="H6" s="1">
        <v>45721.947916666664</v>
      </c>
      <c r="I6" t="str">
        <f>"0726570"</f>
        <v>0726570</v>
      </c>
      <c r="J6" t="str">
        <f>"0555"</f>
        <v>0555</v>
      </c>
      <c r="K6">
        <v>1129</v>
      </c>
      <c r="L6">
        <v>1</v>
      </c>
      <c r="M6" t="s">
        <v>25</v>
      </c>
      <c r="N6" t="s">
        <v>145</v>
      </c>
      <c r="Q6" t="s">
        <v>26</v>
      </c>
      <c r="R6" t="s">
        <v>27</v>
      </c>
      <c r="T6">
        <v>49149993</v>
      </c>
      <c r="U6">
        <v>86001504</v>
      </c>
      <c r="V6">
        <v>127682</v>
      </c>
    </row>
    <row r="7" spans="1:22" x14ac:dyDescent="0.2">
      <c r="A7" t="str">
        <f>"036254589"</f>
        <v>036254589</v>
      </c>
      <c r="B7" t="s">
        <v>135</v>
      </c>
      <c r="C7" t="s">
        <v>136</v>
      </c>
      <c r="D7" t="s">
        <v>137</v>
      </c>
      <c r="E7" t="s">
        <v>138</v>
      </c>
      <c r="F7">
        <v>100</v>
      </c>
      <c r="G7" t="s">
        <v>24</v>
      </c>
      <c r="H7" s="1">
        <v>45721.948611111111</v>
      </c>
      <c r="I7">
        <v>77869</v>
      </c>
      <c r="J7">
        <v>8628</v>
      </c>
      <c r="K7" t="str">
        <f>"0825"</f>
        <v>0825</v>
      </c>
      <c r="L7">
        <v>1</v>
      </c>
      <c r="M7" t="s">
        <v>25</v>
      </c>
      <c r="N7" t="s">
        <v>139</v>
      </c>
      <c r="Q7" t="s">
        <v>26</v>
      </c>
      <c r="R7" t="s">
        <v>27</v>
      </c>
      <c r="T7">
        <v>49150077</v>
      </c>
      <c r="U7">
        <v>86001507</v>
      </c>
      <c r="V7">
        <v>127685</v>
      </c>
    </row>
    <row r="8" spans="1:22" x14ac:dyDescent="0.2">
      <c r="A8">
        <v>326245284</v>
      </c>
      <c r="B8" t="s">
        <v>140</v>
      </c>
      <c r="F8">
        <v>200</v>
      </c>
      <c r="G8" t="s">
        <v>24</v>
      </c>
      <c r="H8" s="1">
        <v>45721.948611111111</v>
      </c>
      <c r="I8">
        <v>2788571</v>
      </c>
      <c r="J8">
        <v>2914</v>
      </c>
      <c r="K8">
        <v>1130</v>
      </c>
      <c r="L8">
        <v>1</v>
      </c>
      <c r="M8" t="s">
        <v>25</v>
      </c>
      <c r="N8" t="s">
        <v>141</v>
      </c>
      <c r="Q8" t="s">
        <v>34</v>
      </c>
      <c r="R8" t="s">
        <v>27</v>
      </c>
      <c r="T8">
        <v>49150076</v>
      </c>
      <c r="U8">
        <v>86001506</v>
      </c>
      <c r="V8">
        <v>127684</v>
      </c>
    </row>
    <row r="9" spans="1:22" x14ac:dyDescent="0.2">
      <c r="B9" t="s">
        <v>133</v>
      </c>
      <c r="F9">
        <v>300</v>
      </c>
      <c r="G9" t="s">
        <v>24</v>
      </c>
      <c r="H9" s="1">
        <v>45721.949305555558</v>
      </c>
      <c r="I9">
        <v>2792114</v>
      </c>
      <c r="J9">
        <v>9885</v>
      </c>
      <c r="K9" t="str">
        <f>"0729"</f>
        <v>0729</v>
      </c>
      <c r="L9">
        <v>1</v>
      </c>
      <c r="M9" t="s">
        <v>25</v>
      </c>
      <c r="N9" t="s">
        <v>134</v>
      </c>
      <c r="Q9" t="s">
        <v>34</v>
      </c>
      <c r="R9" t="s">
        <v>27</v>
      </c>
      <c r="T9">
        <v>49150142</v>
      </c>
      <c r="U9">
        <v>86001508</v>
      </c>
      <c r="V9">
        <v>127686</v>
      </c>
    </row>
    <row r="10" spans="1:22" x14ac:dyDescent="0.2">
      <c r="A10" t="str">
        <f>"027330620"</f>
        <v>027330620</v>
      </c>
      <c r="B10" t="s">
        <v>131</v>
      </c>
      <c r="F10">
        <v>49</v>
      </c>
      <c r="G10" t="s">
        <v>24</v>
      </c>
      <c r="H10" s="1">
        <v>45721.95208333333</v>
      </c>
      <c r="I10">
        <v>9542</v>
      </c>
      <c r="J10">
        <v>5716</v>
      </c>
      <c r="K10" t="str">
        <f>"0226"</f>
        <v>0226</v>
      </c>
      <c r="L10">
        <v>1</v>
      </c>
      <c r="M10" t="s">
        <v>25</v>
      </c>
      <c r="N10" t="s">
        <v>132</v>
      </c>
      <c r="Q10" t="s">
        <v>34</v>
      </c>
      <c r="R10" t="s">
        <v>27</v>
      </c>
      <c r="T10">
        <v>49150288</v>
      </c>
      <c r="U10">
        <v>86001509</v>
      </c>
      <c r="V10">
        <v>127687</v>
      </c>
    </row>
    <row r="11" spans="1:22" x14ac:dyDescent="0.2">
      <c r="A11">
        <v>213261233</v>
      </c>
      <c r="B11" t="s">
        <v>128</v>
      </c>
      <c r="C11" t="s">
        <v>129</v>
      </c>
      <c r="F11">
        <v>700</v>
      </c>
      <c r="G11" t="s">
        <v>24</v>
      </c>
      <c r="H11" s="1">
        <v>45721.953472222223</v>
      </c>
      <c r="I11">
        <v>2806593</v>
      </c>
      <c r="J11">
        <v>1245</v>
      </c>
      <c r="K11" t="str">
        <f>"0231"</f>
        <v>0231</v>
      </c>
      <c r="L11">
        <v>1</v>
      </c>
      <c r="M11" t="s">
        <v>25</v>
      </c>
      <c r="N11" t="s">
        <v>130</v>
      </c>
      <c r="Q11" t="s">
        <v>34</v>
      </c>
      <c r="R11" t="s">
        <v>27</v>
      </c>
      <c r="T11">
        <v>49150405</v>
      </c>
      <c r="U11">
        <v>86001510</v>
      </c>
      <c r="V11">
        <v>127688</v>
      </c>
    </row>
    <row r="12" spans="1:22" x14ac:dyDescent="0.2">
      <c r="A12" t="str">
        <f>"031554249"</f>
        <v>031554249</v>
      </c>
      <c r="B12" t="s">
        <v>120</v>
      </c>
      <c r="C12" t="s">
        <v>121</v>
      </c>
      <c r="D12" t="s">
        <v>122</v>
      </c>
      <c r="E12" t="s">
        <v>123</v>
      </c>
      <c r="F12">
        <v>300</v>
      </c>
      <c r="G12" t="s">
        <v>24</v>
      </c>
      <c r="H12" s="1">
        <v>45721.95416666667</v>
      </c>
      <c r="I12">
        <v>84287</v>
      </c>
      <c r="J12">
        <v>1128</v>
      </c>
      <c r="K12" t="str">
        <f>"0830"</f>
        <v>0830</v>
      </c>
      <c r="L12">
        <v>1</v>
      </c>
      <c r="M12" t="s">
        <v>25</v>
      </c>
      <c r="N12" t="s">
        <v>124</v>
      </c>
      <c r="O12" t="s">
        <v>125</v>
      </c>
      <c r="P12">
        <v>381</v>
      </c>
      <c r="Q12" t="s">
        <v>26</v>
      </c>
      <c r="R12" t="s">
        <v>27</v>
      </c>
      <c r="T12">
        <v>49150436</v>
      </c>
      <c r="U12">
        <v>86001512</v>
      </c>
      <c r="V12">
        <v>127690</v>
      </c>
    </row>
    <row r="13" spans="1:22" x14ac:dyDescent="0.2">
      <c r="A13">
        <v>327863031</v>
      </c>
      <c r="B13" t="s">
        <v>126</v>
      </c>
      <c r="E13" t="s">
        <v>63</v>
      </c>
      <c r="F13">
        <v>1000</v>
      </c>
      <c r="G13" t="s">
        <v>24</v>
      </c>
      <c r="H13" s="1">
        <v>45721.95416666667</v>
      </c>
      <c r="I13">
        <v>2806799</v>
      </c>
      <c r="J13" t="str">
        <f>"0396"</f>
        <v>0396</v>
      </c>
      <c r="K13" t="str">
        <f>"0427"</f>
        <v>0427</v>
      </c>
      <c r="L13">
        <v>1</v>
      </c>
      <c r="M13" t="s">
        <v>25</v>
      </c>
      <c r="N13" t="s">
        <v>127</v>
      </c>
      <c r="Q13" t="s">
        <v>34</v>
      </c>
      <c r="R13" t="s">
        <v>27</v>
      </c>
      <c r="T13">
        <v>49150409</v>
      </c>
      <c r="U13">
        <v>86001511</v>
      </c>
      <c r="V13">
        <v>127689</v>
      </c>
    </row>
    <row r="14" spans="1:22" x14ac:dyDescent="0.2">
      <c r="A14" t="str">
        <f>"036397743"</f>
        <v>036397743</v>
      </c>
      <c r="B14" t="s">
        <v>115</v>
      </c>
      <c r="C14" t="s">
        <v>116</v>
      </c>
      <c r="D14" t="s">
        <v>117</v>
      </c>
      <c r="E14" t="s">
        <v>118</v>
      </c>
      <c r="F14">
        <v>50</v>
      </c>
      <c r="G14" t="s">
        <v>24</v>
      </c>
      <c r="H14" s="1">
        <v>45721.954861111109</v>
      </c>
      <c r="I14">
        <v>2811009</v>
      </c>
      <c r="J14">
        <v>5404</v>
      </c>
      <c r="K14" t="str">
        <f>"0926"</f>
        <v>0926</v>
      </c>
      <c r="L14">
        <v>1</v>
      </c>
      <c r="M14" t="s">
        <v>25</v>
      </c>
      <c r="N14" t="s">
        <v>119</v>
      </c>
      <c r="Q14" t="s">
        <v>34</v>
      </c>
      <c r="R14" t="s">
        <v>27</v>
      </c>
      <c r="T14">
        <v>49150464</v>
      </c>
      <c r="U14">
        <v>86001513</v>
      </c>
      <c r="V14">
        <v>127691</v>
      </c>
    </row>
    <row r="15" spans="1:22" x14ac:dyDescent="0.2">
      <c r="B15" t="s">
        <v>114</v>
      </c>
      <c r="F15">
        <v>200</v>
      </c>
      <c r="G15" t="s">
        <v>24</v>
      </c>
      <c r="H15" s="1">
        <v>45721.956250000003</v>
      </c>
      <c r="I15">
        <v>2815254</v>
      </c>
      <c r="J15" t="str">
        <f>"0852"</f>
        <v>0852</v>
      </c>
      <c r="K15" t="str">
        <f>"0530"</f>
        <v>0530</v>
      </c>
      <c r="L15">
        <v>1</v>
      </c>
      <c r="M15" t="s">
        <v>25</v>
      </c>
      <c r="Q15" t="s">
        <v>34</v>
      </c>
      <c r="R15" t="s">
        <v>27</v>
      </c>
      <c r="T15">
        <v>49150577</v>
      </c>
      <c r="U15">
        <v>86001514</v>
      </c>
      <c r="V15">
        <v>127692</v>
      </c>
    </row>
    <row r="16" spans="1:22" x14ac:dyDescent="0.2">
      <c r="B16" t="s">
        <v>112</v>
      </c>
      <c r="F16">
        <v>10</v>
      </c>
      <c r="G16" t="s">
        <v>24</v>
      </c>
      <c r="H16" s="1">
        <v>45721.957638888889</v>
      </c>
      <c r="I16" t="str">
        <f>"0880500"</f>
        <v>0880500</v>
      </c>
      <c r="J16">
        <v>5553</v>
      </c>
      <c r="K16" t="str">
        <f>"0930"</f>
        <v>0930</v>
      </c>
      <c r="L16">
        <v>1</v>
      </c>
      <c r="M16" t="s">
        <v>25</v>
      </c>
      <c r="N16" t="s">
        <v>113</v>
      </c>
      <c r="Q16" t="s">
        <v>26</v>
      </c>
      <c r="R16" t="s">
        <v>27</v>
      </c>
      <c r="T16">
        <v>49150669</v>
      </c>
      <c r="U16">
        <v>86001515</v>
      </c>
      <c r="V16">
        <v>127693</v>
      </c>
    </row>
    <row r="17" spans="1:22" x14ac:dyDescent="0.2">
      <c r="A17" t="str">
        <f>"008102494"</f>
        <v>008102494</v>
      </c>
      <c r="B17" t="s">
        <v>108</v>
      </c>
      <c r="C17" t="s">
        <v>109</v>
      </c>
      <c r="D17" t="s">
        <v>110</v>
      </c>
      <c r="E17" t="s">
        <v>111</v>
      </c>
      <c r="F17">
        <v>180.5</v>
      </c>
      <c r="G17" t="s">
        <v>24</v>
      </c>
      <c r="H17" s="1">
        <v>45721.958333333336</v>
      </c>
      <c r="I17">
        <v>557016</v>
      </c>
      <c r="J17">
        <v>2569</v>
      </c>
      <c r="K17">
        <v>1228</v>
      </c>
      <c r="L17">
        <v>1</v>
      </c>
      <c r="M17" t="s">
        <v>25</v>
      </c>
      <c r="N17" t="s">
        <v>70</v>
      </c>
      <c r="Q17" t="s">
        <v>26</v>
      </c>
      <c r="R17" t="s">
        <v>27</v>
      </c>
      <c r="T17">
        <v>49150712</v>
      </c>
      <c r="U17">
        <v>86001516</v>
      </c>
      <c r="V17">
        <v>127694</v>
      </c>
    </row>
    <row r="18" spans="1:22" x14ac:dyDescent="0.2">
      <c r="A18">
        <v>208506394</v>
      </c>
      <c r="B18" t="s">
        <v>103</v>
      </c>
      <c r="C18" t="s">
        <v>104</v>
      </c>
      <c r="D18" t="s">
        <v>105</v>
      </c>
      <c r="E18" t="s">
        <v>106</v>
      </c>
      <c r="F18">
        <v>500</v>
      </c>
      <c r="G18" t="s">
        <v>24</v>
      </c>
      <c r="H18" s="1">
        <v>45721.959027777775</v>
      </c>
      <c r="I18">
        <v>2822580</v>
      </c>
      <c r="J18" t="str">
        <f>"0131"</f>
        <v>0131</v>
      </c>
      <c r="K18">
        <v>1025</v>
      </c>
      <c r="L18">
        <v>1</v>
      </c>
      <c r="M18" t="s">
        <v>25</v>
      </c>
      <c r="N18" t="s">
        <v>107</v>
      </c>
      <c r="Q18" t="s">
        <v>34</v>
      </c>
      <c r="R18" t="s">
        <v>27</v>
      </c>
      <c r="T18">
        <v>49150735</v>
      </c>
      <c r="U18">
        <v>86001517</v>
      </c>
      <c r="V18">
        <v>127695</v>
      </c>
    </row>
    <row r="19" spans="1:22" x14ac:dyDescent="0.2">
      <c r="A19">
        <v>213257108</v>
      </c>
      <c r="B19" t="s">
        <v>98</v>
      </c>
      <c r="C19" t="s">
        <v>99</v>
      </c>
      <c r="D19" t="s">
        <v>100</v>
      </c>
      <c r="E19" t="s">
        <v>101</v>
      </c>
      <c r="F19">
        <v>250</v>
      </c>
      <c r="G19" t="s">
        <v>24</v>
      </c>
      <c r="H19" s="1">
        <v>45721.959722222222</v>
      </c>
      <c r="I19">
        <v>2825826</v>
      </c>
      <c r="J19" t="str">
        <f>"0394"</f>
        <v>0394</v>
      </c>
      <c r="K19" t="str">
        <f>"0231"</f>
        <v>0231</v>
      </c>
      <c r="L19">
        <v>1</v>
      </c>
      <c r="M19" t="s">
        <v>25</v>
      </c>
      <c r="N19" t="s">
        <v>102</v>
      </c>
      <c r="Q19" t="s">
        <v>34</v>
      </c>
      <c r="R19" t="s">
        <v>27</v>
      </c>
      <c r="T19">
        <v>49150799</v>
      </c>
      <c r="U19">
        <v>86001518</v>
      </c>
      <c r="V19">
        <v>127696</v>
      </c>
    </row>
    <row r="20" spans="1:22" x14ac:dyDescent="0.2">
      <c r="A20">
        <v>203561006</v>
      </c>
      <c r="B20" t="s">
        <v>93</v>
      </c>
      <c r="F20">
        <v>20</v>
      </c>
      <c r="G20" t="s">
        <v>24</v>
      </c>
      <c r="H20" s="1">
        <v>45721.961111111108</v>
      </c>
      <c r="I20" t="str">
        <f>"0932731"</f>
        <v>0932731</v>
      </c>
      <c r="J20">
        <v>2680</v>
      </c>
      <c r="K20" t="str">
        <f>"0230"</f>
        <v>0230</v>
      </c>
      <c r="L20">
        <v>1</v>
      </c>
      <c r="M20" t="s">
        <v>25</v>
      </c>
      <c r="N20" t="s">
        <v>94</v>
      </c>
      <c r="Q20" t="s">
        <v>26</v>
      </c>
      <c r="R20" t="s">
        <v>27</v>
      </c>
      <c r="T20">
        <v>49150914</v>
      </c>
      <c r="U20">
        <v>86001520</v>
      </c>
      <c r="V20">
        <v>127698</v>
      </c>
    </row>
    <row r="21" spans="1:22" x14ac:dyDescent="0.2">
      <c r="A21" t="str">
        <f>"000000000"</f>
        <v>000000000</v>
      </c>
      <c r="B21" t="s">
        <v>95</v>
      </c>
      <c r="C21" t="s">
        <v>96</v>
      </c>
      <c r="D21">
        <v>41796191174</v>
      </c>
      <c r="E21" t="s">
        <v>97</v>
      </c>
      <c r="F21">
        <v>250</v>
      </c>
      <c r="G21" t="s">
        <v>24</v>
      </c>
      <c r="H21" s="1">
        <v>45721.961111111108</v>
      </c>
      <c r="I21">
        <v>23017</v>
      </c>
      <c r="J21">
        <v>3010</v>
      </c>
      <c r="K21" t="str">
        <f>"0727"</f>
        <v>0727</v>
      </c>
      <c r="L21">
        <v>1</v>
      </c>
      <c r="M21" t="s">
        <v>25</v>
      </c>
      <c r="Q21" t="s">
        <v>34</v>
      </c>
      <c r="R21" t="s">
        <v>27</v>
      </c>
      <c r="T21">
        <v>49150863</v>
      </c>
      <c r="U21">
        <v>86001519</v>
      </c>
      <c r="V21">
        <v>127697</v>
      </c>
    </row>
    <row r="22" spans="1:22" x14ac:dyDescent="0.2">
      <c r="A22">
        <v>326076528</v>
      </c>
      <c r="B22" t="s">
        <v>88</v>
      </c>
      <c r="C22" t="s">
        <v>89</v>
      </c>
      <c r="D22" t="s">
        <v>90</v>
      </c>
      <c r="E22" t="s">
        <v>91</v>
      </c>
      <c r="F22">
        <v>300</v>
      </c>
      <c r="G22" t="s">
        <v>24</v>
      </c>
      <c r="H22" s="1">
        <v>45721.961805555555</v>
      </c>
      <c r="I22">
        <v>2832059</v>
      </c>
      <c r="J22" t="str">
        <f>"0717"</f>
        <v>0717</v>
      </c>
      <c r="K22" t="str">
        <f>"0829"</f>
        <v>0829</v>
      </c>
      <c r="L22">
        <v>1</v>
      </c>
      <c r="M22" t="s">
        <v>25</v>
      </c>
      <c r="N22" t="s">
        <v>92</v>
      </c>
      <c r="Q22" t="s">
        <v>34</v>
      </c>
      <c r="R22" t="s">
        <v>27</v>
      </c>
      <c r="T22">
        <v>49150941</v>
      </c>
      <c r="U22">
        <v>86001521</v>
      </c>
      <c r="V22">
        <v>127699</v>
      </c>
    </row>
    <row r="23" spans="1:22" x14ac:dyDescent="0.2">
      <c r="B23" t="s">
        <v>87</v>
      </c>
      <c r="F23">
        <v>100</v>
      </c>
      <c r="G23" t="s">
        <v>24</v>
      </c>
      <c r="H23" s="1">
        <v>45721.963194444441</v>
      </c>
      <c r="I23">
        <v>2835263</v>
      </c>
      <c r="J23">
        <v>8618</v>
      </c>
      <c r="K23" t="str">
        <f>"0930"</f>
        <v>0930</v>
      </c>
      <c r="L23">
        <v>1</v>
      </c>
      <c r="M23" t="s">
        <v>25</v>
      </c>
      <c r="N23" t="s">
        <v>33</v>
      </c>
      <c r="Q23" t="s">
        <v>34</v>
      </c>
      <c r="R23" t="s">
        <v>27</v>
      </c>
      <c r="T23">
        <v>49150992</v>
      </c>
      <c r="U23">
        <v>86001522</v>
      </c>
      <c r="V23">
        <v>127700</v>
      </c>
    </row>
    <row r="24" spans="1:22" x14ac:dyDescent="0.2">
      <c r="A24">
        <v>329213482</v>
      </c>
      <c r="B24" t="s">
        <v>82</v>
      </c>
      <c r="C24" t="s">
        <v>83</v>
      </c>
      <c r="D24" t="s">
        <v>84</v>
      </c>
      <c r="E24" t="s">
        <v>85</v>
      </c>
      <c r="F24">
        <v>210</v>
      </c>
      <c r="G24" t="s">
        <v>24</v>
      </c>
      <c r="H24" s="1">
        <v>45721.963888888888</v>
      </c>
      <c r="I24" t="str">
        <f>"0000000"</f>
        <v>0000000</v>
      </c>
      <c r="J24">
        <v>8716</v>
      </c>
      <c r="L24">
        <v>1</v>
      </c>
      <c r="M24" t="s">
        <v>25</v>
      </c>
      <c r="N24" t="s">
        <v>82</v>
      </c>
      <c r="Q24" t="s">
        <v>86</v>
      </c>
      <c r="R24">
        <v>30</v>
      </c>
      <c r="T24">
        <v>49151041</v>
      </c>
      <c r="V24">
        <v>127701</v>
      </c>
    </row>
    <row r="25" spans="1:22" x14ac:dyDescent="0.2">
      <c r="B25" t="s">
        <v>76</v>
      </c>
      <c r="F25">
        <v>6</v>
      </c>
      <c r="G25" t="s">
        <v>24</v>
      </c>
      <c r="H25" s="1">
        <v>45721.964583333334</v>
      </c>
      <c r="I25" t="str">
        <f>"0976340"</f>
        <v>0976340</v>
      </c>
      <c r="J25">
        <v>1215</v>
      </c>
      <c r="K25" t="str">
        <f>"0127"</f>
        <v>0127</v>
      </c>
      <c r="L25">
        <v>1</v>
      </c>
      <c r="M25" t="s">
        <v>25</v>
      </c>
      <c r="N25" t="s">
        <v>77</v>
      </c>
      <c r="Q25" t="s">
        <v>26</v>
      </c>
      <c r="R25" t="s">
        <v>27</v>
      </c>
      <c r="T25">
        <v>49151073</v>
      </c>
      <c r="U25">
        <v>86001525</v>
      </c>
      <c r="V25">
        <v>127704</v>
      </c>
    </row>
    <row r="26" spans="1:22" x14ac:dyDescent="0.2">
      <c r="A26" t="str">
        <f>"027281585"</f>
        <v>027281585</v>
      </c>
      <c r="B26" t="s">
        <v>78</v>
      </c>
      <c r="F26">
        <v>100</v>
      </c>
      <c r="G26" t="s">
        <v>24</v>
      </c>
      <c r="H26" s="1">
        <v>45721.964583333334</v>
      </c>
      <c r="I26" t="str">
        <f>"0973669"</f>
        <v>0973669</v>
      </c>
      <c r="J26">
        <v>2605</v>
      </c>
      <c r="K26" t="str">
        <f>"0729"</f>
        <v>0729</v>
      </c>
      <c r="L26">
        <v>1</v>
      </c>
      <c r="M26" t="s">
        <v>25</v>
      </c>
      <c r="N26" t="s">
        <v>79</v>
      </c>
      <c r="Q26" t="s">
        <v>26</v>
      </c>
      <c r="R26" t="s">
        <v>27</v>
      </c>
      <c r="T26">
        <v>49151062</v>
      </c>
      <c r="U26">
        <v>86001524</v>
      </c>
      <c r="V26">
        <v>127703</v>
      </c>
    </row>
    <row r="27" spans="1:22" x14ac:dyDescent="0.2">
      <c r="B27" t="s">
        <v>80</v>
      </c>
      <c r="F27">
        <v>40</v>
      </c>
      <c r="G27" t="s">
        <v>24</v>
      </c>
      <c r="H27" s="1">
        <v>45721.964583333334</v>
      </c>
      <c r="I27">
        <v>12061</v>
      </c>
      <c r="J27">
        <v>7045</v>
      </c>
      <c r="K27">
        <v>1130</v>
      </c>
      <c r="L27">
        <v>1</v>
      </c>
      <c r="M27" t="s">
        <v>25</v>
      </c>
      <c r="N27" t="s">
        <v>81</v>
      </c>
      <c r="Q27" t="s">
        <v>34</v>
      </c>
      <c r="R27" t="s">
        <v>27</v>
      </c>
      <c r="T27">
        <v>49151053</v>
      </c>
      <c r="U27">
        <v>86001523</v>
      </c>
      <c r="V27">
        <v>127702</v>
      </c>
    </row>
    <row r="28" spans="1:22" x14ac:dyDescent="0.2">
      <c r="A28">
        <v>326382496</v>
      </c>
      <c r="B28" t="s">
        <v>66</v>
      </c>
      <c r="C28" t="s">
        <v>67</v>
      </c>
      <c r="D28" t="s">
        <v>68</v>
      </c>
      <c r="E28" t="s">
        <v>69</v>
      </c>
      <c r="F28">
        <v>100</v>
      </c>
      <c r="G28" t="s">
        <v>24</v>
      </c>
      <c r="H28" s="1">
        <v>45721.965277777781</v>
      </c>
      <c r="I28" t="str">
        <f>"0981431"</f>
        <v>0981431</v>
      </c>
      <c r="J28">
        <v>6261</v>
      </c>
      <c r="K28" t="str">
        <f>"0530"</f>
        <v>0530</v>
      </c>
      <c r="L28">
        <v>1</v>
      </c>
      <c r="M28" t="s">
        <v>25</v>
      </c>
      <c r="N28" t="s">
        <v>70</v>
      </c>
      <c r="Q28" t="s">
        <v>26</v>
      </c>
      <c r="R28" t="s">
        <v>27</v>
      </c>
      <c r="T28">
        <v>49151094</v>
      </c>
      <c r="U28">
        <v>86001527</v>
      </c>
      <c r="V28">
        <v>127706</v>
      </c>
    </row>
    <row r="29" spans="1:22" x14ac:dyDescent="0.2">
      <c r="A29">
        <v>213612369</v>
      </c>
      <c r="B29" t="s">
        <v>71</v>
      </c>
      <c r="C29" t="s">
        <v>72</v>
      </c>
      <c r="D29" t="s">
        <v>73</v>
      </c>
      <c r="E29" t="s">
        <v>74</v>
      </c>
      <c r="F29">
        <v>30</v>
      </c>
      <c r="G29" t="s">
        <v>24</v>
      </c>
      <c r="H29" s="1">
        <v>45721.965277777781</v>
      </c>
      <c r="I29">
        <v>94689</v>
      </c>
      <c r="J29">
        <v>4349</v>
      </c>
      <c r="K29" t="str">
        <f>"0229"</f>
        <v>0229</v>
      </c>
      <c r="L29">
        <v>1</v>
      </c>
      <c r="M29" t="s">
        <v>25</v>
      </c>
      <c r="N29" t="s">
        <v>75</v>
      </c>
      <c r="Q29" t="s">
        <v>26</v>
      </c>
      <c r="R29" t="s">
        <v>27</v>
      </c>
      <c r="T29">
        <v>49151089</v>
      </c>
      <c r="U29">
        <v>86001526</v>
      </c>
      <c r="V29">
        <v>127705</v>
      </c>
    </row>
    <row r="30" spans="1:22" x14ac:dyDescent="0.2">
      <c r="A30">
        <v>301455135</v>
      </c>
      <c r="B30" t="s">
        <v>64</v>
      </c>
      <c r="F30">
        <v>350</v>
      </c>
      <c r="G30" t="s">
        <v>24</v>
      </c>
      <c r="H30" s="1">
        <v>45721.96597222222</v>
      </c>
      <c r="I30" t="str">
        <f>"0992792"</f>
        <v>0992792</v>
      </c>
      <c r="J30">
        <v>9659</v>
      </c>
      <c r="K30" t="str">
        <f>"0529"</f>
        <v>0529</v>
      </c>
      <c r="L30">
        <v>1</v>
      </c>
      <c r="M30" t="s">
        <v>25</v>
      </c>
      <c r="N30" t="s">
        <v>65</v>
      </c>
      <c r="Q30" t="s">
        <v>26</v>
      </c>
      <c r="R30" t="s">
        <v>27</v>
      </c>
      <c r="T30">
        <v>49151156</v>
      </c>
      <c r="U30">
        <v>86001528</v>
      </c>
      <c r="V30">
        <v>127707</v>
      </c>
    </row>
    <row r="31" spans="1:22" x14ac:dyDescent="0.2">
      <c r="B31" t="s">
        <v>62</v>
      </c>
      <c r="E31" t="s">
        <v>63</v>
      </c>
      <c r="F31">
        <v>180</v>
      </c>
      <c r="G31" t="s">
        <v>24</v>
      </c>
      <c r="H31" s="1">
        <v>45721.967361111114</v>
      </c>
      <c r="I31">
        <v>2847731</v>
      </c>
      <c r="J31">
        <v>3759</v>
      </c>
      <c r="K31" t="str">
        <f>"0131"</f>
        <v>0131</v>
      </c>
      <c r="L31">
        <v>1</v>
      </c>
      <c r="M31" t="s">
        <v>25</v>
      </c>
      <c r="N31" t="s">
        <v>62</v>
      </c>
      <c r="Q31" t="s">
        <v>34</v>
      </c>
      <c r="R31" t="s">
        <v>27</v>
      </c>
      <c r="T31">
        <v>49151229</v>
      </c>
      <c r="U31">
        <v>86001529</v>
      </c>
      <c r="V31">
        <v>127708</v>
      </c>
    </row>
    <row r="32" spans="1:22" x14ac:dyDescent="0.2">
      <c r="B32" t="s">
        <v>53</v>
      </c>
      <c r="F32">
        <v>100</v>
      </c>
      <c r="G32" t="s">
        <v>24</v>
      </c>
      <c r="H32" s="1">
        <v>45721.968055555553</v>
      </c>
      <c r="I32" t="str">
        <f>"0019638"</f>
        <v>0019638</v>
      </c>
      <c r="J32">
        <v>5028</v>
      </c>
      <c r="K32" t="str">
        <f>"0429"</f>
        <v>0429</v>
      </c>
      <c r="L32">
        <v>1</v>
      </c>
      <c r="M32" t="s">
        <v>25</v>
      </c>
      <c r="N32" t="s">
        <v>54</v>
      </c>
      <c r="Q32" t="s">
        <v>26</v>
      </c>
      <c r="R32" t="s">
        <v>27</v>
      </c>
      <c r="T32">
        <v>49151272</v>
      </c>
      <c r="U32">
        <v>86001532</v>
      </c>
      <c r="V32">
        <v>127711</v>
      </c>
    </row>
    <row r="33" spans="1:22" x14ac:dyDescent="0.2">
      <c r="A33" t="str">
        <f>"025701335"</f>
        <v>025701335</v>
      </c>
      <c r="B33" t="s">
        <v>55</v>
      </c>
      <c r="F33">
        <v>170</v>
      </c>
      <c r="G33" t="s">
        <v>24</v>
      </c>
      <c r="H33" s="1">
        <v>45721.968055555553</v>
      </c>
      <c r="I33">
        <v>2849543</v>
      </c>
      <c r="J33">
        <v>3384</v>
      </c>
      <c r="K33" t="str">
        <f>"0429"</f>
        <v>0429</v>
      </c>
      <c r="L33">
        <v>1</v>
      </c>
      <c r="M33" t="s">
        <v>25</v>
      </c>
      <c r="N33" t="s">
        <v>56</v>
      </c>
      <c r="Q33" t="s">
        <v>34</v>
      </c>
      <c r="R33" t="s">
        <v>27</v>
      </c>
      <c r="T33">
        <v>49151255</v>
      </c>
      <c r="U33">
        <v>86001531</v>
      </c>
      <c r="V33">
        <v>127710</v>
      </c>
    </row>
    <row r="34" spans="1:22" x14ac:dyDescent="0.2">
      <c r="A34">
        <v>212079339</v>
      </c>
      <c r="B34" t="s">
        <v>57</v>
      </c>
      <c r="C34" t="s">
        <v>58</v>
      </c>
      <c r="D34" t="s">
        <v>59</v>
      </c>
      <c r="E34" t="s">
        <v>60</v>
      </c>
      <c r="F34">
        <v>96</v>
      </c>
      <c r="G34" t="s">
        <v>24</v>
      </c>
      <c r="H34" s="1">
        <v>45721.968055555553</v>
      </c>
      <c r="I34">
        <v>2849509</v>
      </c>
      <c r="J34">
        <v>7815</v>
      </c>
      <c r="K34" t="str">
        <f>"0729"</f>
        <v>0729</v>
      </c>
      <c r="L34">
        <v>1</v>
      </c>
      <c r="M34" t="s">
        <v>25</v>
      </c>
      <c r="N34" t="s">
        <v>61</v>
      </c>
      <c r="Q34" t="s">
        <v>34</v>
      </c>
      <c r="R34" t="s">
        <v>27</v>
      </c>
      <c r="T34">
        <v>49151252</v>
      </c>
      <c r="U34">
        <v>86001530</v>
      </c>
      <c r="V34">
        <v>127709</v>
      </c>
    </row>
    <row r="35" spans="1:22" x14ac:dyDescent="0.2">
      <c r="B35" t="s">
        <v>51</v>
      </c>
      <c r="F35">
        <v>50</v>
      </c>
      <c r="G35" t="s">
        <v>24</v>
      </c>
      <c r="H35" s="1">
        <v>45721.96875</v>
      </c>
      <c r="I35" t="str">
        <f>"0030668"</f>
        <v>0030668</v>
      </c>
      <c r="J35">
        <v>2478</v>
      </c>
      <c r="K35">
        <v>1030</v>
      </c>
      <c r="L35">
        <v>1</v>
      </c>
      <c r="M35" t="s">
        <v>25</v>
      </c>
      <c r="N35" t="s">
        <v>52</v>
      </c>
      <c r="Q35" t="s">
        <v>26</v>
      </c>
      <c r="R35" t="s">
        <v>27</v>
      </c>
      <c r="T35">
        <v>49151311</v>
      </c>
      <c r="U35">
        <v>86001533</v>
      </c>
      <c r="V35">
        <v>127712</v>
      </c>
    </row>
    <row r="36" spans="1:22" x14ac:dyDescent="0.2">
      <c r="A36" t="str">
        <f>"013600945"</f>
        <v>013600945</v>
      </c>
      <c r="B36" t="s">
        <v>44</v>
      </c>
      <c r="C36" t="s">
        <v>45</v>
      </c>
      <c r="D36" t="s">
        <v>46</v>
      </c>
      <c r="E36" t="s">
        <v>47</v>
      </c>
      <c r="F36">
        <v>50</v>
      </c>
      <c r="G36" t="s">
        <v>24</v>
      </c>
      <c r="H36" s="1">
        <v>45721.969444444447</v>
      </c>
      <c r="I36" t="str">
        <f>"0036376"</f>
        <v>0036376</v>
      </c>
      <c r="J36">
        <v>2882</v>
      </c>
      <c r="K36" t="str">
        <f>"0228"</f>
        <v>0228</v>
      </c>
      <c r="L36">
        <v>1</v>
      </c>
      <c r="M36" t="s">
        <v>25</v>
      </c>
      <c r="N36" t="s">
        <v>48</v>
      </c>
      <c r="Q36" t="s">
        <v>26</v>
      </c>
      <c r="R36" t="s">
        <v>27</v>
      </c>
      <c r="T36">
        <v>49151332</v>
      </c>
      <c r="U36">
        <v>86001535</v>
      </c>
      <c r="V36">
        <v>127714</v>
      </c>
    </row>
    <row r="37" spans="1:22" x14ac:dyDescent="0.2">
      <c r="B37" t="s">
        <v>49</v>
      </c>
      <c r="F37">
        <v>50</v>
      </c>
      <c r="G37" t="s">
        <v>24</v>
      </c>
      <c r="H37" s="1">
        <v>45721.969444444447</v>
      </c>
      <c r="I37" t="str">
        <f>"0031674"</f>
        <v>0031674</v>
      </c>
      <c r="J37">
        <v>9500</v>
      </c>
      <c r="K37" t="str">
        <f>"0630"</f>
        <v>0630</v>
      </c>
      <c r="L37">
        <v>1</v>
      </c>
      <c r="M37" t="s">
        <v>25</v>
      </c>
      <c r="N37" t="s">
        <v>50</v>
      </c>
      <c r="Q37" t="s">
        <v>26</v>
      </c>
      <c r="R37" t="s">
        <v>27</v>
      </c>
      <c r="T37">
        <v>49151316</v>
      </c>
      <c r="U37">
        <v>86001534</v>
      </c>
      <c r="V37">
        <v>127713</v>
      </c>
    </row>
    <row r="38" spans="1:22" x14ac:dyDescent="0.2">
      <c r="A38">
        <v>336335492</v>
      </c>
      <c r="B38" t="s">
        <v>35</v>
      </c>
      <c r="F38">
        <v>300</v>
      </c>
      <c r="G38" t="s">
        <v>24</v>
      </c>
      <c r="H38" s="1">
        <v>45721.970138888886</v>
      </c>
      <c r="I38">
        <v>99171</v>
      </c>
      <c r="J38">
        <v>7541</v>
      </c>
      <c r="K38">
        <v>1128</v>
      </c>
      <c r="L38">
        <v>1</v>
      </c>
      <c r="M38" t="s">
        <v>25</v>
      </c>
      <c r="N38" t="s">
        <v>36</v>
      </c>
      <c r="Q38" t="s">
        <v>26</v>
      </c>
      <c r="R38" t="s">
        <v>27</v>
      </c>
      <c r="T38">
        <v>49151357</v>
      </c>
      <c r="U38">
        <v>86001538</v>
      </c>
      <c r="V38">
        <v>127717</v>
      </c>
    </row>
    <row r="39" spans="1:22" x14ac:dyDescent="0.2">
      <c r="A39">
        <v>207767039</v>
      </c>
      <c r="B39" t="s">
        <v>37</v>
      </c>
      <c r="C39" t="s">
        <v>38</v>
      </c>
      <c r="D39" t="s">
        <v>39</v>
      </c>
      <c r="E39" t="s">
        <v>40</v>
      </c>
      <c r="F39">
        <v>216</v>
      </c>
      <c r="G39" t="s">
        <v>24</v>
      </c>
      <c r="H39" s="1">
        <v>45721.970138888886</v>
      </c>
      <c r="I39" t="str">
        <f>"0042093"</f>
        <v>0042093</v>
      </c>
      <c r="J39">
        <v>1803</v>
      </c>
      <c r="K39" t="str">
        <f>"0128"</f>
        <v>0128</v>
      </c>
      <c r="L39">
        <v>1</v>
      </c>
      <c r="M39" t="s">
        <v>25</v>
      </c>
      <c r="N39" t="s">
        <v>41</v>
      </c>
      <c r="Q39" t="s">
        <v>26</v>
      </c>
      <c r="R39" t="s">
        <v>27</v>
      </c>
      <c r="T39">
        <v>49151356</v>
      </c>
      <c r="U39">
        <v>86001537</v>
      </c>
      <c r="V39">
        <v>127716</v>
      </c>
    </row>
    <row r="40" spans="1:22" x14ac:dyDescent="0.2">
      <c r="B40" t="s">
        <v>42</v>
      </c>
      <c r="F40">
        <v>700</v>
      </c>
      <c r="G40" t="s">
        <v>24</v>
      </c>
      <c r="H40" s="1">
        <v>45721.970138888886</v>
      </c>
      <c r="I40">
        <v>99101</v>
      </c>
      <c r="J40">
        <v>3325</v>
      </c>
      <c r="K40" t="str">
        <f>"0929"</f>
        <v>0929</v>
      </c>
      <c r="L40">
        <v>1</v>
      </c>
      <c r="M40" t="s">
        <v>25</v>
      </c>
      <c r="N40" t="s">
        <v>43</v>
      </c>
      <c r="Q40" t="s">
        <v>26</v>
      </c>
      <c r="R40" t="s">
        <v>27</v>
      </c>
      <c r="T40">
        <v>49151351</v>
      </c>
      <c r="U40">
        <v>86001536</v>
      </c>
      <c r="V40">
        <v>127715</v>
      </c>
    </row>
    <row r="41" spans="1:22" x14ac:dyDescent="0.2">
      <c r="A41" t="str">
        <f>"033840661"</f>
        <v>033840661</v>
      </c>
      <c r="B41" t="s">
        <v>22</v>
      </c>
      <c r="E41" t="s">
        <v>23</v>
      </c>
      <c r="F41">
        <v>100</v>
      </c>
      <c r="G41" t="s">
        <v>24</v>
      </c>
      <c r="H41" s="1">
        <v>45721.970833333333</v>
      </c>
      <c r="I41">
        <v>99698</v>
      </c>
      <c r="J41">
        <v>8121</v>
      </c>
      <c r="K41" t="str">
        <f>"0729"</f>
        <v>0729</v>
      </c>
      <c r="L41">
        <v>1</v>
      </c>
      <c r="M41" t="s">
        <v>25</v>
      </c>
      <c r="Q41" t="s">
        <v>26</v>
      </c>
      <c r="R41" t="s">
        <v>27</v>
      </c>
      <c r="T41">
        <v>49151383</v>
      </c>
      <c r="U41">
        <v>86001540</v>
      </c>
      <c r="V41">
        <v>127719</v>
      </c>
    </row>
    <row r="42" spans="1:22" x14ac:dyDescent="0.2">
      <c r="A42" t="str">
        <f>"043558261"</f>
        <v>043558261</v>
      </c>
      <c r="B42" t="s">
        <v>28</v>
      </c>
      <c r="C42" t="s">
        <v>29</v>
      </c>
      <c r="D42" t="s">
        <v>30</v>
      </c>
      <c r="E42" t="s">
        <v>31</v>
      </c>
      <c r="F42">
        <v>100</v>
      </c>
      <c r="G42" t="s">
        <v>24</v>
      </c>
      <c r="H42" s="1">
        <v>45721.970833333333</v>
      </c>
      <c r="I42" t="s">
        <v>32</v>
      </c>
      <c r="J42">
        <v>7071</v>
      </c>
      <c r="K42" t="str">
        <f>"0529"</f>
        <v>0529</v>
      </c>
      <c r="L42">
        <v>1</v>
      </c>
      <c r="M42" t="s">
        <v>25</v>
      </c>
      <c r="N42" t="s">
        <v>33</v>
      </c>
      <c r="Q42" t="s">
        <v>34</v>
      </c>
      <c r="R42" t="s">
        <v>27</v>
      </c>
      <c r="T42">
        <v>49151380</v>
      </c>
      <c r="U42">
        <v>86001539</v>
      </c>
      <c r="V42">
        <v>127718</v>
      </c>
    </row>
  </sheetData>
  <autoFilter ref="A1:V42">
    <sortState ref="A2:V42">
      <sortCondition ref="H1:H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ExportHistory_01.03.25_05.03.25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batshi_k</dc:creator>
  <cp:lastModifiedBy>batshi_k</cp:lastModifiedBy>
  <dcterms:created xsi:type="dcterms:W3CDTF">2025-03-05T21:20:24Z</dcterms:created>
  <dcterms:modified xsi:type="dcterms:W3CDTF">2025-03-05T21:21:14Z</dcterms:modified>
</cp:coreProperties>
</file>