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56CDB09F-675E-45C1-AE49-5F9FB9BE243C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ExportHistory_01.03.25_05.03.25!$A$1:$V$77</definedName>
  </definedNames>
  <calcPr calcId="0"/>
</workbook>
</file>

<file path=xl/calcChain.xml><?xml version="1.0" encoding="utf-8"?>
<calcChain xmlns="http://schemas.openxmlformats.org/spreadsheetml/2006/main">
  <c r="J77" i="1" l="1"/>
  <c r="K77" i="1"/>
  <c r="A76" i="1"/>
  <c r="K76" i="1"/>
  <c r="I75" i="1"/>
  <c r="K75" i="1"/>
  <c r="K74" i="1"/>
  <c r="A73" i="1"/>
  <c r="I73" i="1"/>
  <c r="K73" i="1"/>
  <c r="K71" i="1"/>
  <c r="A72" i="1"/>
  <c r="I72" i="1"/>
  <c r="K70" i="1"/>
  <c r="I68" i="1"/>
  <c r="K68" i="1"/>
  <c r="I69" i="1"/>
  <c r="K69" i="1"/>
  <c r="A66" i="1"/>
  <c r="I64" i="1"/>
  <c r="K64" i="1"/>
  <c r="I65" i="1"/>
  <c r="K65" i="1"/>
  <c r="K63" i="1"/>
  <c r="K62" i="1"/>
  <c r="K60" i="1"/>
  <c r="A61" i="1"/>
  <c r="K61" i="1"/>
  <c r="A58" i="1"/>
  <c r="K58" i="1"/>
  <c r="J59" i="1"/>
  <c r="K59" i="1"/>
  <c r="I55" i="1"/>
  <c r="J55" i="1"/>
  <c r="K55" i="1"/>
  <c r="I56" i="1"/>
  <c r="K57" i="1"/>
  <c r="K53" i="1"/>
  <c r="A52" i="1"/>
  <c r="K52" i="1"/>
  <c r="I51" i="1"/>
  <c r="A50" i="1"/>
  <c r="I50" i="1"/>
  <c r="A47" i="1"/>
  <c r="J48" i="1"/>
  <c r="A46" i="1"/>
  <c r="K46" i="1"/>
  <c r="I44" i="1"/>
  <c r="J44" i="1"/>
  <c r="K45" i="1"/>
  <c r="K42" i="1"/>
  <c r="K43" i="1"/>
  <c r="K41" i="1"/>
  <c r="K38" i="1"/>
  <c r="I39" i="1"/>
  <c r="K39" i="1"/>
  <c r="K40" i="1"/>
  <c r="K37" i="1"/>
  <c r="I36" i="1"/>
  <c r="K36" i="1"/>
  <c r="A34" i="1"/>
  <c r="I34" i="1"/>
  <c r="K34" i="1"/>
  <c r="K31" i="1"/>
  <c r="I32" i="1"/>
  <c r="J32" i="1"/>
  <c r="K32" i="1"/>
  <c r="I30" i="1"/>
  <c r="K29" i="1"/>
  <c r="J27" i="1"/>
  <c r="K28" i="1"/>
  <c r="K25" i="1"/>
  <c r="K26" i="1"/>
  <c r="I24" i="1"/>
  <c r="K24" i="1"/>
  <c r="A21" i="1"/>
  <c r="J21" i="1"/>
  <c r="K21" i="1"/>
  <c r="I22" i="1"/>
  <c r="K18" i="1"/>
  <c r="I19" i="1"/>
  <c r="K19" i="1"/>
  <c r="K20" i="1"/>
  <c r="A15" i="1"/>
  <c r="K15" i="1"/>
  <c r="I16" i="1"/>
  <c r="I17" i="1"/>
  <c r="K17" i="1"/>
  <c r="I13" i="1"/>
  <c r="K13" i="1"/>
  <c r="K14" i="1"/>
  <c r="A12" i="1"/>
  <c r="K12" i="1"/>
  <c r="I11" i="1"/>
  <c r="K9" i="1"/>
  <c r="K6" i="1"/>
  <c r="I8" i="1"/>
  <c r="K8" i="1"/>
  <c r="I4" i="1"/>
  <c r="K4" i="1"/>
  <c r="K5" i="1"/>
  <c r="K2" i="1"/>
  <c r="A3" i="1"/>
  <c r="K3" i="1"/>
</calcChain>
</file>

<file path=xl/sharedStrings.xml><?xml version="1.0" encoding="utf-8"?>
<sst xmlns="http://schemas.openxmlformats.org/spreadsheetml/2006/main" count="602" uniqueCount="278">
  <si>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</si>
  <si>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</si>
  <si>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</si>
  <si>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</si>
  <si>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</si>
  <si>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</si>
  <si>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</si>
  <si>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</si>
  <si>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</si>
  <si>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</si>
  <si>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</si>
  <si>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</si>
  <si>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</si>
  <si>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</si>
  <si>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</si>
  <si>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</si>
  <si>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</si>
  <si>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</si>
  <si>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</si>
  <si>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</si>
  <si>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</si>
  <si>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</si>
  <si>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רינה שטרית</t>
  </si>
  <si>
    <t>שקל</t>
  </si>
  <si>
    <t>קמפיין הכנסת כלה תשפ"ה</t>
  </si>
  <si>
    <t>הודיה טייב</t>
  </si>
  <si>
    <t>מסטרכרד</t>
  </si>
  <si>
    <t>ישראכרט</t>
  </si>
  <si>
    <t>עוזרי שרה</t>
  </si>
  <si>
    <t>בת ציון 3 תל אביב</t>
  </si>
  <si>
    <t>050-6204570</t>
  </si>
  <si>
    <t>saraleoz55555@gmail.com</t>
  </si>
  <si>
    <t>לזיווג הגון לראם בן עצמונה</t>
  </si>
  <si>
    <t>ויזה</t>
  </si>
  <si>
    <t>יעקב שטרייכער</t>
  </si>
  <si>
    <t>בית שמש</t>
  </si>
  <si>
    <t>058-3223354</t>
  </si>
  <si>
    <t>lilastraj@gmail.com</t>
  </si>
  <si>
    <t>תהילה שטרייכער</t>
  </si>
  <si>
    <t xml:space="preserve">יעל </t>
  </si>
  <si>
    <t>מנחם בני ברק</t>
  </si>
  <si>
    <t>054-8533653</t>
  </si>
  <si>
    <t>y0548533653@gmail.com</t>
  </si>
  <si>
    <t>אפרת זוננטל</t>
  </si>
  <si>
    <t>ראוכברגר</t>
  </si>
  <si>
    <t>משעול הקורטם 6 ירושלים</t>
  </si>
  <si>
    <t>054-5636150</t>
  </si>
  <si>
    <t>moti@peamit.co.il</t>
  </si>
  <si>
    <t>לזכות דבי ראוכברגר</t>
  </si>
  <si>
    <t>הדס אמיר</t>
  </si>
  <si>
    <t>שרה רחל אברהם</t>
  </si>
  <si>
    <t>שושנה מזוז</t>
  </si>
  <si>
    <t>קרל נטר 127 ירושלים</t>
  </si>
  <si>
    <t>052-7117855</t>
  </si>
  <si>
    <t>mm555@014.net.il</t>
  </si>
  <si>
    <t xml:space="preserve">תמר תמים </t>
  </si>
  <si>
    <t>hadasamir16@gmail.com</t>
  </si>
  <si>
    <t xml:space="preserve">יונה אריה רפסון </t>
  </si>
  <si>
    <t xml:space="preserve">בית יצחק 1  ירושלים </t>
  </si>
  <si>
    <t>054-8150933</t>
  </si>
  <si>
    <t>riki8150833@gmail.com</t>
  </si>
  <si>
    <t xml:space="preserve">לילה שטרייכער </t>
  </si>
  <si>
    <t>נועה רווח</t>
  </si>
  <si>
    <t>שושנה בנימיני</t>
  </si>
  <si>
    <t>מינץ 4/2 ירושלים</t>
  </si>
  <si>
    <t>052-7609074</t>
  </si>
  <si>
    <t>srz0527609074@gmail.com</t>
  </si>
  <si>
    <t>חני בנימיני</t>
  </si>
  <si>
    <t>אביגיל גולדשטיין</t>
  </si>
  <si>
    <t>ריש לקיש 28 בית שמש</t>
  </si>
  <si>
    <t>058-7112634</t>
  </si>
  <si>
    <t>1992yag@gmail.com</t>
  </si>
  <si>
    <t>לילה שטרייכר</t>
  </si>
  <si>
    <t>עובדיה</t>
  </si>
  <si>
    <t>שרה לוי</t>
  </si>
  <si>
    <t>אביגיל גיקובס</t>
  </si>
  <si>
    <t>הזית 4 קרית יערים</t>
  </si>
  <si>
    <t>050-4148301</t>
  </si>
  <si>
    <t>gnajacobs18@gmail.com</t>
  </si>
  <si>
    <t>מיכל גיקובס</t>
  </si>
  <si>
    <t xml:space="preserve">רחל קורנבלוט </t>
  </si>
  <si>
    <t>נחל לכיש 22 רמת בית שמש</t>
  </si>
  <si>
    <t>053-3159412</t>
  </si>
  <si>
    <t>rachelblukorn@gmail.com</t>
  </si>
  <si>
    <t>לנפסקי רבקה</t>
  </si>
  <si>
    <t>יוסף קארו אופקים</t>
  </si>
  <si>
    <t>058-3226108</t>
  </si>
  <si>
    <t>rivki9537@gmail.com</t>
  </si>
  <si>
    <t>אבישג חוברה</t>
  </si>
  <si>
    <t>וורצמן סמדר</t>
  </si>
  <si>
    <t>משה רחמילביץ 126, 5 ירושלים</t>
  </si>
  <si>
    <t>052-5950655</t>
  </si>
  <si>
    <t>s0722112113@gmail.com</t>
  </si>
  <si>
    <t>יהודית צאלים מדירת וילה</t>
  </si>
  <si>
    <t>כהן אסתר</t>
  </si>
  <si>
    <t>מרים מונסונגו</t>
  </si>
  <si>
    <t>נקבלי גיא</t>
  </si>
  <si>
    <t>19 הפעמון קדומים</t>
  </si>
  <si>
    <t>054-3247934</t>
  </si>
  <si>
    <t>nakibly.guy@gmail.com</t>
  </si>
  <si>
    <t>אבישג מזרחי</t>
  </si>
  <si>
    <t xml:space="preserve">רוזנס זאב </t>
  </si>
  <si>
    <t>שמואל הנביא 16 דירה 3 בית שמש רמת בית שמש</t>
  </si>
  <si>
    <t>058-6695300</t>
  </si>
  <si>
    <t>pk.primek@gmail.com</t>
  </si>
  <si>
    <t xml:space="preserve">מיכל ג'ייקובס </t>
  </si>
  <si>
    <t>לאה גולדשטיין</t>
  </si>
  <si>
    <t>ביתר עילית</t>
  </si>
  <si>
    <t>מירי טברסקי</t>
  </si>
  <si>
    <t>פייזר</t>
  </si>
  <si>
    <t>מינא פייזר</t>
  </si>
  <si>
    <t>אשירה ברמן</t>
  </si>
  <si>
    <t>נריה הנביא 28/9 בית שמש</t>
  </si>
  <si>
    <t>058-3299310</t>
  </si>
  <si>
    <t>ashiraberman@gmail.com</t>
  </si>
  <si>
    <t>שרה לוי!!!!!!!!!!</t>
  </si>
  <si>
    <t>גדעון שבתאי</t>
  </si>
  <si>
    <t>054-8452625</t>
  </si>
  <si>
    <t>t0532765167@gmail.com</t>
  </si>
  <si>
    <t>תמר אביב דירה 7</t>
  </si>
  <si>
    <t>המנהלת</t>
  </si>
  <si>
    <t>אסתי מן</t>
  </si>
  <si>
    <t>מאשה מן</t>
  </si>
  <si>
    <t>יאיר אפיק</t>
  </si>
  <si>
    <t>נוף העמק 12 מגדל העמק</t>
  </si>
  <si>
    <t>058-4100888</t>
  </si>
  <si>
    <t>yair.afik@gmail.com</t>
  </si>
  <si>
    <t>יעל אפיק - דירה 4  (אחותי המושלמת..)</t>
  </si>
  <si>
    <t>דלי בצלאל</t>
  </si>
  <si>
    <t>רבקה מיתא</t>
  </si>
  <si>
    <t>תמר פינקל</t>
  </si>
  <si>
    <t>נחל אוריה  בית שמש</t>
  </si>
  <si>
    <t>053-4186716</t>
  </si>
  <si>
    <t>tamifinkel10@gmail.com</t>
  </si>
  <si>
    <t>חנה מרמלשטיין</t>
  </si>
  <si>
    <t>רייך ישראל</t>
  </si>
  <si>
    <t>צפרירים   13/31 ירושלים</t>
  </si>
  <si>
    <t>052-7681040</t>
  </si>
  <si>
    <t>7681040@gmail.com</t>
  </si>
  <si>
    <t xml:space="preserve">לכבוד הסמינר המיוחד ביותר ולכבוד הבת האהובה שלנו פנינה רייך וכל שאר הבנות הנפלאות </t>
  </si>
  <si>
    <t>טליה מלכה</t>
  </si>
  <si>
    <t>תמר אהרון</t>
  </si>
  <si>
    <t>ציפורה טייץ</t>
  </si>
  <si>
    <t>טויטו מרדכי</t>
  </si>
  <si>
    <t>אריאל שרון 51 נתיבות</t>
  </si>
  <si>
    <t>050-4119038</t>
  </si>
  <si>
    <t>f0533118672@hotmail.com</t>
  </si>
  <si>
    <t>עבור שילת שרביט</t>
  </si>
  <si>
    <t>בית כנסת תפארת מאיר</t>
  </si>
  <si>
    <t>גלר</t>
  </si>
  <si>
    <t>מלכה גלר</t>
  </si>
  <si>
    <t>שמעון מונסונגו</t>
  </si>
  <si>
    <t>אסתר כהן</t>
  </si>
  <si>
    <t>יעל דמגי</t>
  </si>
  <si>
    <t>היינמן שלמה</t>
  </si>
  <si>
    <t>ירושלים</t>
  </si>
  <si>
    <t>058-3260108</t>
  </si>
  <si>
    <t>shlomohh0@gmail.com</t>
  </si>
  <si>
    <t>צפורה טייץ בהצלחה רבה גאים בך!</t>
  </si>
  <si>
    <t>טייץ דניאלה</t>
  </si>
  <si>
    <t>104 Rechov Harav Uziel Jerusalem</t>
  </si>
  <si>
    <t>058-3202430</t>
  </si>
  <si>
    <t>teitzdd@gmail.com</t>
  </si>
  <si>
    <t>צפורה טייץ</t>
  </si>
  <si>
    <t>אביגיל דמגי</t>
  </si>
  <si>
    <t>צליה דודי</t>
  </si>
  <si>
    <t>מרים נדב</t>
  </si>
  <si>
    <t>זילברשלג ישראל</t>
  </si>
  <si>
    <t>בן איש חי 1506/12 אופקים</t>
  </si>
  <si>
    <t>053-4159896</t>
  </si>
  <si>
    <t>miriesh10@gmail.com</t>
  </si>
  <si>
    <t>מתרימה: יהודית צאלים מדירת וילה</t>
  </si>
  <si>
    <t>תהילה מלכה פרידמן</t>
  </si>
  <si>
    <t>אידלשטיין 16</t>
  </si>
  <si>
    <t>m0548443516@gmail.com</t>
  </si>
  <si>
    <t>בתיה סיימון</t>
  </si>
  <si>
    <t>בית ישי</t>
  </si>
  <si>
    <t>יומולדת</t>
  </si>
  <si>
    <t>פנים מאירים 25/1 ביתר עילית</t>
  </si>
  <si>
    <t>058-4437792</t>
  </si>
  <si>
    <t>eti10035@gmail.com</t>
  </si>
  <si>
    <t>נועה איינשטיין</t>
  </si>
  <si>
    <t>ברכה בליטי</t>
  </si>
  <si>
    <t xml:space="preserve">אורוגואי 19 ירושלים </t>
  </si>
  <si>
    <t>058-7702829</t>
  </si>
  <si>
    <t>brahamena555@gmail.com</t>
  </si>
  <si>
    <t>לברוריה כהן דירה 10</t>
  </si>
  <si>
    <t>בירנבוים אסנת</t>
  </si>
  <si>
    <t>הלר חיים 7 ירושלים</t>
  </si>
  <si>
    <t>054-6359477</t>
  </si>
  <si>
    <t>birnbaumasnath@gmail.com</t>
  </si>
  <si>
    <t>שרה בלוך</t>
  </si>
  <si>
    <t>הארי טרומן  ירושלים</t>
  </si>
  <si>
    <t>053-4841425</t>
  </si>
  <si>
    <t>afrat1875@gmail.com</t>
  </si>
  <si>
    <t>המתרימה רבקה ברכה בנג'ו</t>
  </si>
  <si>
    <t>העברה בקליק</t>
  </si>
  <si>
    <t>הני כהן</t>
  </si>
  <si>
    <t>אורה טולידנו</t>
  </si>
  <si>
    <t>נועה טולידנו</t>
  </si>
  <si>
    <t>מאירה פלאט</t>
  </si>
  <si>
    <t>nahar hayarden, 100/2 Ramat Beit Shemesh</t>
  </si>
  <si>
    <t>053-3149207</t>
  </si>
  <si>
    <t>meiraplatt@gmail.com</t>
  </si>
  <si>
    <t>לכבוד הודיה המדריכה המהממת!!!! אין עליך- תמשיכי להיות כזאת אלופה!!!</t>
  </si>
  <si>
    <t>פלורה רובינסון</t>
  </si>
  <si>
    <t>ויזל רחל</t>
  </si>
  <si>
    <t>שפירא הרמן צבי 18 פתח תקוה</t>
  </si>
  <si>
    <t>053-3136004</t>
  </si>
  <si>
    <t>r0533136004@gmail.com</t>
  </si>
  <si>
    <t>על שם יהודית ברוכי חדר 8</t>
  </si>
  <si>
    <t>ישיבת לומזה פתח תקוה</t>
  </si>
  <si>
    <t>רבקה משען</t>
  </si>
  <si>
    <t>הדסה פעלד</t>
  </si>
  <si>
    <t>טובה</t>
  </si>
  <si>
    <t>חבקוק הנביא רמת בית שמש</t>
  </si>
  <si>
    <t>077-9182203</t>
  </si>
  <si>
    <t>tovahtova@gmail.com</t>
  </si>
  <si>
    <t>דירה 404-לרות אזולאי הנשמה שלנו!!</t>
  </si>
  <si>
    <t xml:space="preserve">יששכר ועדנה גראפי </t>
  </si>
  <si>
    <t xml:space="preserve">הרצל 39 חדרה </t>
  </si>
  <si>
    <t>054-3299300</t>
  </si>
  <si>
    <t>sassi@gsuit.co.il</t>
  </si>
  <si>
    <t>אודליה מילוטה</t>
  </si>
  <si>
    <t>מעיין דרור</t>
  </si>
  <si>
    <t>אודליה רבקה מילוטה</t>
  </si>
  <si>
    <t>תרומה על שם אסתי ויזל</t>
  </si>
  <si>
    <t>ויס רחל</t>
  </si>
  <si>
    <t>קיבוץ גלויות 11 בני ברק</t>
  </si>
  <si>
    <t>054-8477235</t>
  </si>
  <si>
    <t>sh.ra.vais.@gmail.com</t>
  </si>
  <si>
    <t>רעות לומברד</t>
  </si>
  <si>
    <t>פנינה רייך</t>
  </si>
  <si>
    <t xml:space="preserve">קמחי יהונתן ואביה </t>
  </si>
  <si>
    <t>יסמין 6 אופקים</t>
  </si>
  <si>
    <t>052-7640805</t>
  </si>
  <si>
    <t>y0527@ofakim.me</t>
  </si>
  <si>
    <t>מנילוב יצחק</t>
  </si>
  <si>
    <t>רבקה מנילוב</t>
  </si>
  <si>
    <t>אסתר ברכה לונדון</t>
  </si>
  <si>
    <t>המ"ג 24 ירושלים</t>
  </si>
  <si>
    <t>050-4116643</t>
  </si>
  <si>
    <t>k4116643@gmail.com</t>
  </si>
  <si>
    <t>באריה פארן</t>
  </si>
  <si>
    <t>אברהם נתן</t>
  </si>
  <si>
    <t>יעל עוזרי</t>
  </si>
  <si>
    <t>אליאור סלם</t>
  </si>
  <si>
    <t>תל חי 34 אשדוד</t>
  </si>
  <si>
    <t>054-8191983</t>
  </si>
  <si>
    <t>secdmf@gmail.com</t>
  </si>
  <si>
    <t>אלונה קדוש</t>
  </si>
  <si>
    <t>שושנה טייץ</t>
  </si>
  <si>
    <t>עוזיאל 104 ירושלים</t>
  </si>
  <si>
    <t>058-3251321</t>
  </si>
  <si>
    <t>s0583251321@gmail.com</t>
  </si>
  <si>
    <t>אורית ביטון</t>
  </si>
  <si>
    <t>אילה בלוק</t>
  </si>
  <si>
    <t>לרר חיה</t>
  </si>
  <si>
    <t>יואל 19 בני ברק</t>
  </si>
  <si>
    <t>052-7657695</t>
  </si>
  <si>
    <t>5794422@gmail.com</t>
  </si>
  <si>
    <t>המתרימה : נעמי טל</t>
  </si>
  <si>
    <t>בראון</t>
  </si>
  <si>
    <t>גוזף דבורה</t>
  </si>
  <si>
    <t>מיכל אברהם</t>
  </si>
  <si>
    <t>אלישבע</t>
  </si>
  <si>
    <t>קדושתלוי 21 ביתר עילית</t>
  </si>
  <si>
    <t>025-7134349</t>
  </si>
  <si>
    <t>dovichait@gmail.com</t>
  </si>
  <si>
    <t>הדר דהאן</t>
  </si>
  <si>
    <t>סיטרוק מאיר</t>
  </si>
  <si>
    <t xml:space="preserve"> QT9O3O</t>
  </si>
  <si>
    <t>ברוריה כהן</t>
  </si>
  <si>
    <t>אביב נסים</t>
  </si>
  <si>
    <t>1 מסילת יוסף מודיעין עילית</t>
  </si>
  <si>
    <t>053-3156223</t>
  </si>
  <si>
    <t>varod1313@gmail.com</t>
  </si>
  <si>
    <t>תמר אביב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</si>
</sst>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rightToLeft="1" tabSelected="1" topLeftCell="E67" workbookViewId="0">
      <selection activeCell="F77" sqref="F77"/>
    </sheetView>
  </sheetViews>
  <sheetFormatPr defaultRowHeight="14.25" x14ac:dyDescent="0.2"/>
  <cols>
    <col min="1" max="1" width="9.875" bestFit="1" customWidth="1"/>
    <col min="2" max="2" width="22.5" bestFit="1" customWidth="1"/>
    <col min="3" max="3" width="57.875" bestFit="1" customWidth="1"/>
    <col min="4" max="4" width="14" bestFit="1" customWidth="1"/>
    <col min="5" max="5" width="29" bestFit="1" customWidth="1"/>
    <col min="6" max="6" width="6.875" bestFit="1" customWidth="1"/>
    <col min="7" max="7" width="5.125" bestFit="1" customWidth="1"/>
    <col min="8" max="8" width="15" bestFit="1" customWidth="1"/>
    <col min="9" max="9" width="9.625" bestFit="1" customWidth="1"/>
    <col min="10" max="10" width="13.5" bestFit="1" customWidth="1"/>
    <col min="11" max="11" width="4.875" bestFit="1" customWidth="1"/>
    <col min="12" max="12" width="8.625" bestFit="1" customWidth="1"/>
    <col min="13" max="13" width="20" bestFit="1" customWidth="1"/>
    <col min="14" max="14" width="77" bestFit="1" customWidth="1"/>
    <col min="15" max="15" width="37" bestFit="1" customWidth="1"/>
    <col min="16" max="16" width="9.375" bestFit="1" customWidth="1"/>
    <col min="17" max="17" width="12.5" bestFit="1" customWidth="1"/>
    <col min="18" max="18" width="10.25" bestFit="1" customWidth="1"/>
    <col min="19" max="19" width="8.75" bestFit="1" customWidth="1"/>
    <col min="20" max="20" width="9.875" bestFit="1" customWidth="1"/>
    <col min="21" max="21" width="9.25" bestFit="1" customWidth="1"/>
    <col min="22" max="22" width="9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345612063</v>
      </c>
      <c r="B2" t="s">
        <v>270</v>
      </c>
      <c r="F2">
        <v>1000</v>
      </c>
      <c r="G2" t="s">
        <v>23</v>
      </c>
      <c r="H2" s="1">
        <v>45721.907638888886</v>
      </c>
      <c r="I2" t="s">
        <v>271</v>
      </c>
      <c r="J2">
        <v>2530</v>
      </c>
      <c r="K2" t="str">
        <f>"0929"</f>
        <v>0929</v>
      </c>
      <c r="L2">
        <v>1</v>
      </c>
      <c r="M2" t="s">
        <v>24</v>
      </c>
      <c r="N2" t="s">
        <v>272</v>
      </c>
      <c r="Q2" t="s">
        <v>33</v>
      </c>
      <c r="R2" t="s">
        <v>27</v>
      </c>
      <c r="T2">
        <v>49147416</v>
      </c>
      <c r="U2">
        <v>86001427</v>
      </c>
      <c r="V2">
        <v>127602</v>
      </c>
    </row>
    <row r="3" spans="1:22" x14ac:dyDescent="0.2">
      <c r="A3" t="str">
        <f>"032083313"</f>
        <v>032083313</v>
      </c>
      <c r="B3" t="s">
        <v>273</v>
      </c>
      <c r="C3" t="s">
        <v>274</v>
      </c>
      <c r="D3" t="s">
        <v>275</v>
      </c>
      <c r="E3" t="s">
        <v>276</v>
      </c>
      <c r="F3">
        <v>300</v>
      </c>
      <c r="G3" t="s">
        <v>23</v>
      </c>
      <c r="H3" s="1">
        <v>45721.907638888886</v>
      </c>
      <c r="I3">
        <v>2617871</v>
      </c>
      <c r="J3">
        <v>7758</v>
      </c>
      <c r="K3" t="str">
        <f>"0729"</f>
        <v>0729</v>
      </c>
      <c r="L3">
        <v>1</v>
      </c>
      <c r="M3" t="s">
        <v>24</v>
      </c>
      <c r="N3" t="s">
        <v>277</v>
      </c>
      <c r="Q3" t="s">
        <v>26</v>
      </c>
      <c r="R3" t="s">
        <v>27</v>
      </c>
      <c r="T3">
        <v>49147399</v>
      </c>
      <c r="U3">
        <v>86001426</v>
      </c>
      <c r="V3">
        <v>127601</v>
      </c>
    </row>
    <row r="4" spans="1:22" x14ac:dyDescent="0.2">
      <c r="A4">
        <v>318406648</v>
      </c>
      <c r="B4" t="s">
        <v>265</v>
      </c>
      <c r="C4" t="s">
        <v>266</v>
      </c>
      <c r="D4" t="s">
        <v>267</v>
      </c>
      <c r="E4" t="s">
        <v>268</v>
      </c>
      <c r="F4">
        <v>75</v>
      </c>
      <c r="G4" t="s">
        <v>23</v>
      </c>
      <c r="H4" s="1">
        <v>45721.908333333333</v>
      </c>
      <c r="I4" t="str">
        <f>"0990762"</f>
        <v>0990762</v>
      </c>
      <c r="J4">
        <v>3694</v>
      </c>
      <c r="K4" t="str">
        <f>"0728"</f>
        <v>0728</v>
      </c>
      <c r="L4">
        <v>1</v>
      </c>
      <c r="M4" t="s">
        <v>24</v>
      </c>
      <c r="Q4" t="s">
        <v>33</v>
      </c>
      <c r="R4" t="s">
        <v>27</v>
      </c>
      <c r="T4">
        <v>49147439</v>
      </c>
      <c r="U4">
        <v>86001429</v>
      </c>
      <c r="V4">
        <v>127604</v>
      </c>
    </row>
    <row r="5" spans="1:22" x14ac:dyDescent="0.2">
      <c r="A5">
        <v>203808290</v>
      </c>
      <c r="B5" t="s">
        <v>257</v>
      </c>
      <c r="C5" t="s">
        <v>258</v>
      </c>
      <c r="D5" t="s">
        <v>259</v>
      </c>
      <c r="E5" t="s">
        <v>260</v>
      </c>
      <c r="F5">
        <v>25</v>
      </c>
      <c r="G5" t="s">
        <v>23</v>
      </c>
      <c r="H5" s="1">
        <v>45721.908333333333</v>
      </c>
      <c r="I5">
        <v>24102</v>
      </c>
      <c r="J5">
        <v>9023</v>
      </c>
      <c r="K5" t="str">
        <f>"0530"</f>
        <v>0530</v>
      </c>
      <c r="L5">
        <v>1</v>
      </c>
      <c r="M5" t="s">
        <v>24</v>
      </c>
      <c r="N5" t="s">
        <v>269</v>
      </c>
      <c r="Q5" t="s">
        <v>33</v>
      </c>
      <c r="R5" t="s">
        <v>27</v>
      </c>
      <c r="T5">
        <v>49147433</v>
      </c>
      <c r="U5">
        <v>86001428</v>
      </c>
      <c r="V5">
        <v>127603</v>
      </c>
    </row>
    <row r="6" spans="1:22" x14ac:dyDescent="0.2">
      <c r="A6">
        <v>203808290</v>
      </c>
      <c r="B6" t="s">
        <v>257</v>
      </c>
      <c r="C6" t="s">
        <v>258</v>
      </c>
      <c r="D6" t="s">
        <v>259</v>
      </c>
      <c r="E6" t="s">
        <v>260</v>
      </c>
      <c r="F6">
        <v>26</v>
      </c>
      <c r="G6" t="s">
        <v>23</v>
      </c>
      <c r="H6" s="1">
        <v>45721.90902777778</v>
      </c>
      <c r="I6">
        <v>26039</v>
      </c>
      <c r="J6">
        <v>9023</v>
      </c>
      <c r="K6" t="str">
        <f>"0530"</f>
        <v>0530</v>
      </c>
      <c r="L6">
        <v>1</v>
      </c>
      <c r="M6" t="s">
        <v>24</v>
      </c>
      <c r="N6" t="s">
        <v>261</v>
      </c>
      <c r="Q6" t="s">
        <v>33</v>
      </c>
      <c r="R6" t="s">
        <v>27</v>
      </c>
      <c r="T6">
        <v>49147520</v>
      </c>
      <c r="U6">
        <v>86001432</v>
      </c>
      <c r="V6">
        <v>127607</v>
      </c>
    </row>
    <row r="7" spans="1:22" x14ac:dyDescent="0.2">
      <c r="B7" t="s">
        <v>262</v>
      </c>
      <c r="F7">
        <v>20</v>
      </c>
      <c r="G7" t="s">
        <v>23</v>
      </c>
      <c r="H7" s="1">
        <v>45721.90902777778</v>
      </c>
      <c r="I7">
        <v>2624981</v>
      </c>
      <c r="J7">
        <v>4476</v>
      </c>
      <c r="K7">
        <v>1229</v>
      </c>
      <c r="L7">
        <v>1</v>
      </c>
      <c r="M7" t="s">
        <v>24</v>
      </c>
      <c r="N7" t="s">
        <v>232</v>
      </c>
      <c r="Q7" t="s">
        <v>26</v>
      </c>
      <c r="R7" t="s">
        <v>27</v>
      </c>
      <c r="T7">
        <v>49147492</v>
      </c>
      <c r="U7">
        <v>86001431</v>
      </c>
      <c r="V7">
        <v>127606</v>
      </c>
    </row>
    <row r="8" spans="1:22" x14ac:dyDescent="0.2">
      <c r="A8">
        <v>326339843</v>
      </c>
      <c r="B8" t="s">
        <v>263</v>
      </c>
      <c r="F8">
        <v>50</v>
      </c>
      <c r="G8" t="s">
        <v>23</v>
      </c>
      <c r="H8" s="1">
        <v>45721.90902777778</v>
      </c>
      <c r="I8" t="str">
        <f>"0003566"</f>
        <v>0003566</v>
      </c>
      <c r="J8">
        <v>4996</v>
      </c>
      <c r="K8" t="str">
        <f>"0430"</f>
        <v>0430</v>
      </c>
      <c r="L8">
        <v>1</v>
      </c>
      <c r="M8" t="s">
        <v>24</v>
      </c>
      <c r="N8" t="s">
        <v>264</v>
      </c>
      <c r="Q8" t="s">
        <v>33</v>
      </c>
      <c r="R8" t="s">
        <v>27</v>
      </c>
      <c r="T8">
        <v>49147491</v>
      </c>
      <c r="U8">
        <v>86001430</v>
      </c>
      <c r="V8">
        <v>127605</v>
      </c>
    </row>
    <row r="9" spans="1:22" x14ac:dyDescent="0.2">
      <c r="B9" t="s">
        <v>255</v>
      </c>
      <c r="F9">
        <v>18</v>
      </c>
      <c r="G9" t="s">
        <v>23</v>
      </c>
      <c r="H9" s="1">
        <v>45721.909722222219</v>
      </c>
      <c r="I9">
        <v>27104</v>
      </c>
      <c r="J9">
        <v>8929</v>
      </c>
      <c r="K9" t="str">
        <f>"0330"</f>
        <v>0330</v>
      </c>
      <c r="L9">
        <v>1</v>
      </c>
      <c r="M9" t="s">
        <v>24</v>
      </c>
      <c r="N9" t="s">
        <v>232</v>
      </c>
      <c r="Q9" t="s">
        <v>33</v>
      </c>
      <c r="R9" t="s">
        <v>27</v>
      </c>
      <c r="T9">
        <v>49147573</v>
      </c>
      <c r="U9">
        <v>86001434</v>
      </c>
      <c r="V9">
        <v>127609</v>
      </c>
    </row>
    <row r="10" spans="1:22" x14ac:dyDescent="0.2">
      <c r="A10">
        <v>216266015</v>
      </c>
      <c r="B10" t="s">
        <v>256</v>
      </c>
      <c r="F10">
        <v>180</v>
      </c>
      <c r="G10" t="s">
        <v>23</v>
      </c>
      <c r="H10" s="1">
        <v>45721.909722222219</v>
      </c>
      <c r="I10">
        <v>26308</v>
      </c>
      <c r="J10">
        <v>5944</v>
      </c>
      <c r="K10">
        <v>1228</v>
      </c>
      <c r="L10">
        <v>1</v>
      </c>
      <c r="M10" t="s">
        <v>24</v>
      </c>
      <c r="N10" t="s">
        <v>256</v>
      </c>
      <c r="Q10" t="s">
        <v>33</v>
      </c>
      <c r="R10" t="s">
        <v>27</v>
      </c>
      <c r="T10">
        <v>49147530</v>
      </c>
      <c r="U10">
        <v>86001433</v>
      </c>
      <c r="V10">
        <v>127608</v>
      </c>
    </row>
    <row r="11" spans="1:22" x14ac:dyDescent="0.2">
      <c r="A11">
        <v>326891397</v>
      </c>
      <c r="B11" t="s">
        <v>251</v>
      </c>
      <c r="C11" t="s">
        <v>252</v>
      </c>
      <c r="D11" t="s">
        <v>253</v>
      </c>
      <c r="E11" t="s">
        <v>254</v>
      </c>
      <c r="F11">
        <v>50</v>
      </c>
      <c r="G11" t="s">
        <v>23</v>
      </c>
      <c r="H11" s="1">
        <v>45721.911111111112</v>
      </c>
      <c r="I11" t="str">
        <f>"0000000"</f>
        <v>0000000</v>
      </c>
      <c r="J11">
        <v>6235</v>
      </c>
      <c r="L11">
        <v>1</v>
      </c>
      <c r="M11" t="s">
        <v>24</v>
      </c>
      <c r="N11" t="s">
        <v>142</v>
      </c>
      <c r="Q11" t="s">
        <v>196</v>
      </c>
      <c r="R11">
        <v>30</v>
      </c>
      <c r="T11">
        <v>49147668</v>
      </c>
      <c r="V11">
        <v>127610</v>
      </c>
    </row>
    <row r="12" spans="1:22" x14ac:dyDescent="0.2">
      <c r="A12" t="str">
        <f>"036011443"</f>
        <v>036011443</v>
      </c>
      <c r="B12" t="s">
        <v>246</v>
      </c>
      <c r="C12" t="s">
        <v>247</v>
      </c>
      <c r="D12" t="s">
        <v>248</v>
      </c>
      <c r="E12" t="s">
        <v>249</v>
      </c>
      <c r="F12">
        <v>500</v>
      </c>
      <c r="G12" t="s">
        <v>23</v>
      </c>
      <c r="H12" s="1">
        <v>45721.911805555559</v>
      </c>
      <c r="I12">
        <v>99182</v>
      </c>
      <c r="J12">
        <v>7726</v>
      </c>
      <c r="K12" t="str">
        <f>"0828"</f>
        <v>0828</v>
      </c>
      <c r="L12">
        <v>1</v>
      </c>
      <c r="M12" t="s">
        <v>24</v>
      </c>
      <c r="N12" t="s">
        <v>250</v>
      </c>
      <c r="Q12" t="s">
        <v>26</v>
      </c>
      <c r="R12" t="s">
        <v>27</v>
      </c>
      <c r="T12">
        <v>49147691</v>
      </c>
      <c r="U12">
        <v>86001435</v>
      </c>
      <c r="V12">
        <v>127611</v>
      </c>
    </row>
    <row r="13" spans="1:22" x14ac:dyDescent="0.2">
      <c r="A13">
        <v>214425712</v>
      </c>
      <c r="B13" t="s">
        <v>239</v>
      </c>
      <c r="C13" t="s">
        <v>240</v>
      </c>
      <c r="D13" t="s">
        <v>241</v>
      </c>
      <c r="E13" t="s">
        <v>242</v>
      </c>
      <c r="F13">
        <v>1000</v>
      </c>
      <c r="G13" t="s">
        <v>23</v>
      </c>
      <c r="H13" s="1">
        <v>45721.912499999999</v>
      </c>
      <c r="I13" t="str">
        <f>"0094276"</f>
        <v>0094276</v>
      </c>
      <c r="J13">
        <v>6210</v>
      </c>
      <c r="K13" t="str">
        <f>"0530"</f>
        <v>0530</v>
      </c>
      <c r="L13">
        <v>1</v>
      </c>
      <c r="M13" t="s">
        <v>24</v>
      </c>
      <c r="N13" t="s">
        <v>243</v>
      </c>
      <c r="Q13" t="s">
        <v>33</v>
      </c>
      <c r="R13" t="s">
        <v>27</v>
      </c>
      <c r="T13">
        <v>49147777</v>
      </c>
      <c r="U13">
        <v>86001437</v>
      </c>
      <c r="V13">
        <v>127613</v>
      </c>
    </row>
    <row r="14" spans="1:22" x14ac:dyDescent="0.2">
      <c r="B14" t="s">
        <v>244</v>
      </c>
      <c r="F14">
        <v>200</v>
      </c>
      <c r="G14" t="s">
        <v>23</v>
      </c>
      <c r="H14" s="1">
        <v>45721.912499999999</v>
      </c>
      <c r="I14">
        <v>2642763</v>
      </c>
      <c r="J14">
        <v>8531</v>
      </c>
      <c r="K14" t="str">
        <f>"0330"</f>
        <v>0330</v>
      </c>
      <c r="L14">
        <v>1</v>
      </c>
      <c r="M14" t="s">
        <v>24</v>
      </c>
      <c r="N14" t="s">
        <v>245</v>
      </c>
      <c r="Q14" t="s">
        <v>33</v>
      </c>
      <c r="R14" t="s">
        <v>27</v>
      </c>
      <c r="T14">
        <v>49147753</v>
      </c>
      <c r="U14">
        <v>86001436</v>
      </c>
      <c r="V14">
        <v>127612</v>
      </c>
    </row>
    <row r="15" spans="1:22" x14ac:dyDescent="0.2">
      <c r="A15" t="str">
        <f>"039460159"</f>
        <v>039460159</v>
      </c>
      <c r="B15" t="s">
        <v>233</v>
      </c>
      <c r="C15" t="s">
        <v>234</v>
      </c>
      <c r="D15" t="s">
        <v>235</v>
      </c>
      <c r="E15" t="s">
        <v>236</v>
      </c>
      <c r="F15">
        <v>1500</v>
      </c>
      <c r="G15" t="s">
        <v>23</v>
      </c>
      <c r="H15" s="1">
        <v>45721.913194444445</v>
      </c>
      <c r="I15">
        <v>2647859</v>
      </c>
      <c r="J15">
        <v>9316</v>
      </c>
      <c r="K15" t="str">
        <f>"0425"</f>
        <v>0425</v>
      </c>
      <c r="L15">
        <v>1</v>
      </c>
      <c r="M15" t="s">
        <v>24</v>
      </c>
      <c r="Q15" t="s">
        <v>26</v>
      </c>
      <c r="R15" t="s">
        <v>27</v>
      </c>
      <c r="T15">
        <v>49147805</v>
      </c>
      <c r="U15">
        <v>86001440</v>
      </c>
      <c r="V15">
        <v>127616</v>
      </c>
    </row>
    <row r="16" spans="1:22" x14ac:dyDescent="0.2">
      <c r="A16">
        <v>320916588</v>
      </c>
      <c r="B16" t="s">
        <v>237</v>
      </c>
      <c r="F16">
        <v>250</v>
      </c>
      <c r="G16" t="s">
        <v>23</v>
      </c>
      <c r="H16" s="1">
        <v>45721.913194444445</v>
      </c>
      <c r="I16" t="str">
        <f>"0101311"</f>
        <v>0101311</v>
      </c>
      <c r="J16">
        <v>4279</v>
      </c>
      <c r="K16">
        <v>1228</v>
      </c>
      <c r="L16">
        <v>1</v>
      </c>
      <c r="M16" t="s">
        <v>24</v>
      </c>
      <c r="N16" t="s">
        <v>238</v>
      </c>
      <c r="Q16" t="s">
        <v>33</v>
      </c>
      <c r="R16" t="s">
        <v>27</v>
      </c>
      <c r="T16">
        <v>49147796</v>
      </c>
      <c r="U16">
        <v>86001439</v>
      </c>
      <c r="V16">
        <v>127615</v>
      </c>
    </row>
    <row r="17" spans="1:22" x14ac:dyDescent="0.2">
      <c r="B17" t="s">
        <v>225</v>
      </c>
      <c r="F17">
        <v>10</v>
      </c>
      <c r="G17" t="s">
        <v>23</v>
      </c>
      <c r="H17" s="1">
        <v>45721.913194444445</v>
      </c>
      <c r="I17" t="str">
        <f>"0100370"</f>
        <v>0100370</v>
      </c>
      <c r="J17">
        <v>3751</v>
      </c>
      <c r="K17" t="str">
        <f>"0829"</f>
        <v>0829</v>
      </c>
      <c r="L17">
        <v>1</v>
      </c>
      <c r="M17" t="s">
        <v>24</v>
      </c>
      <c r="N17" t="s">
        <v>225</v>
      </c>
      <c r="Q17" t="s">
        <v>33</v>
      </c>
      <c r="R17" t="s">
        <v>27</v>
      </c>
      <c r="T17">
        <v>49147793</v>
      </c>
      <c r="U17">
        <v>86001438</v>
      </c>
      <c r="V17">
        <v>127614</v>
      </c>
    </row>
    <row r="18" spans="1:22" x14ac:dyDescent="0.2">
      <c r="A18">
        <v>325948768</v>
      </c>
      <c r="B18" t="s">
        <v>206</v>
      </c>
      <c r="C18" t="s">
        <v>207</v>
      </c>
      <c r="D18" t="s">
        <v>208</v>
      </c>
      <c r="E18" t="s">
        <v>209</v>
      </c>
      <c r="F18">
        <v>20</v>
      </c>
      <c r="G18" t="s">
        <v>23</v>
      </c>
      <c r="H18" s="1">
        <v>45721.913888888892</v>
      </c>
      <c r="I18">
        <v>2651908</v>
      </c>
      <c r="J18">
        <v>4491</v>
      </c>
      <c r="K18" t="str">
        <f>"0230"</f>
        <v>0230</v>
      </c>
      <c r="L18">
        <v>1</v>
      </c>
      <c r="M18" t="s">
        <v>24</v>
      </c>
      <c r="N18" t="s">
        <v>226</v>
      </c>
      <c r="O18" t="s">
        <v>211</v>
      </c>
      <c r="P18">
        <v>633</v>
      </c>
      <c r="Q18" t="s">
        <v>26</v>
      </c>
      <c r="R18" t="s">
        <v>27</v>
      </c>
      <c r="T18">
        <v>49147867</v>
      </c>
      <c r="U18">
        <v>86001443</v>
      </c>
      <c r="V18">
        <v>127619</v>
      </c>
    </row>
    <row r="19" spans="1:22" x14ac:dyDescent="0.2">
      <c r="A19">
        <v>300361532</v>
      </c>
      <c r="B19" t="s">
        <v>227</v>
      </c>
      <c r="C19" t="s">
        <v>228</v>
      </c>
      <c r="D19" t="s">
        <v>229</v>
      </c>
      <c r="E19" t="s">
        <v>230</v>
      </c>
      <c r="F19">
        <v>100</v>
      </c>
      <c r="G19" t="s">
        <v>23</v>
      </c>
      <c r="H19" s="1">
        <v>45721.913888888892</v>
      </c>
      <c r="I19" t="str">
        <f>"0125716"</f>
        <v>0125716</v>
      </c>
      <c r="J19">
        <v>2927</v>
      </c>
      <c r="K19" t="str">
        <f>"0727"</f>
        <v>0727</v>
      </c>
      <c r="L19">
        <v>1</v>
      </c>
      <c r="M19" t="s">
        <v>24</v>
      </c>
      <c r="Q19" t="s">
        <v>33</v>
      </c>
      <c r="R19" t="s">
        <v>27</v>
      </c>
      <c r="T19">
        <v>49147859</v>
      </c>
      <c r="U19">
        <v>86001442</v>
      </c>
      <c r="V19">
        <v>127618</v>
      </c>
    </row>
    <row r="20" spans="1:22" x14ac:dyDescent="0.2">
      <c r="B20" t="s">
        <v>231</v>
      </c>
      <c r="F20">
        <v>50</v>
      </c>
      <c r="G20" t="s">
        <v>23</v>
      </c>
      <c r="H20" s="1">
        <v>45721.913888888892</v>
      </c>
      <c r="I20">
        <v>34081</v>
      </c>
      <c r="J20">
        <v>7329</v>
      </c>
      <c r="K20" t="str">
        <f>"0329"</f>
        <v>0329</v>
      </c>
      <c r="L20">
        <v>1</v>
      </c>
      <c r="M20" t="s">
        <v>24</v>
      </c>
      <c r="N20" t="s">
        <v>232</v>
      </c>
      <c r="Q20" t="s">
        <v>33</v>
      </c>
      <c r="R20" t="s">
        <v>27</v>
      </c>
      <c r="T20">
        <v>49147856</v>
      </c>
      <c r="U20">
        <v>86001441</v>
      </c>
      <c r="V20">
        <v>127617</v>
      </c>
    </row>
    <row r="21" spans="1:22" x14ac:dyDescent="0.2">
      <c r="A21" t="str">
        <f>"059026856"</f>
        <v>059026856</v>
      </c>
      <c r="B21" t="s">
        <v>219</v>
      </c>
      <c r="C21" t="s">
        <v>220</v>
      </c>
      <c r="D21" t="s">
        <v>221</v>
      </c>
      <c r="E21" t="s">
        <v>222</v>
      </c>
      <c r="F21">
        <v>180</v>
      </c>
      <c r="G21" t="s">
        <v>23</v>
      </c>
      <c r="H21" s="1">
        <v>45721.914583333331</v>
      </c>
      <c r="I21">
        <v>2654248</v>
      </c>
      <c r="J21" t="str">
        <f>"0997"</f>
        <v>0997</v>
      </c>
      <c r="K21" t="str">
        <f>"0930"</f>
        <v>0930</v>
      </c>
      <c r="L21">
        <v>1</v>
      </c>
      <c r="M21" t="s">
        <v>24</v>
      </c>
      <c r="N21" t="s">
        <v>223</v>
      </c>
      <c r="Q21" t="s">
        <v>26</v>
      </c>
      <c r="R21" t="s">
        <v>27</v>
      </c>
      <c r="T21">
        <v>49147907</v>
      </c>
      <c r="U21">
        <v>86001445</v>
      </c>
      <c r="V21">
        <v>127621</v>
      </c>
    </row>
    <row r="22" spans="1:22" x14ac:dyDescent="0.2">
      <c r="A22">
        <v>212394118</v>
      </c>
      <c r="B22" t="s">
        <v>224</v>
      </c>
      <c r="F22">
        <v>100</v>
      </c>
      <c r="G22" t="s">
        <v>23</v>
      </c>
      <c r="H22" s="1">
        <v>45721.914583333331</v>
      </c>
      <c r="I22" t="str">
        <f>"0131177"</f>
        <v>0131177</v>
      </c>
      <c r="J22">
        <v>7756</v>
      </c>
      <c r="K22">
        <v>1127</v>
      </c>
      <c r="L22">
        <v>1</v>
      </c>
      <c r="M22" t="s">
        <v>24</v>
      </c>
      <c r="N22" t="s">
        <v>225</v>
      </c>
      <c r="Q22" t="s">
        <v>33</v>
      </c>
      <c r="R22" t="s">
        <v>27</v>
      </c>
      <c r="T22">
        <v>49147883</v>
      </c>
      <c r="U22">
        <v>86001444</v>
      </c>
      <c r="V22">
        <v>127620</v>
      </c>
    </row>
    <row r="23" spans="1:22" x14ac:dyDescent="0.2">
      <c r="B23" t="s">
        <v>212</v>
      </c>
      <c r="F23">
        <v>30</v>
      </c>
      <c r="G23" t="s">
        <v>23</v>
      </c>
      <c r="H23" s="1">
        <v>45721.915277777778</v>
      </c>
      <c r="I23">
        <v>2657693</v>
      </c>
      <c r="J23">
        <v>7575</v>
      </c>
      <c r="K23">
        <v>1029</v>
      </c>
      <c r="L23">
        <v>1</v>
      </c>
      <c r="M23" t="s">
        <v>24</v>
      </c>
      <c r="N23" t="s">
        <v>213</v>
      </c>
      <c r="Q23" t="s">
        <v>33</v>
      </c>
      <c r="R23" t="s">
        <v>27</v>
      </c>
      <c r="T23">
        <v>49147947</v>
      </c>
      <c r="U23">
        <v>86001447</v>
      </c>
      <c r="V23">
        <v>127623</v>
      </c>
    </row>
    <row r="24" spans="1:22" x14ac:dyDescent="0.2">
      <c r="A24">
        <v>770392645</v>
      </c>
      <c r="B24" t="s">
        <v>214</v>
      </c>
      <c r="C24" t="s">
        <v>215</v>
      </c>
      <c r="D24" t="s">
        <v>216</v>
      </c>
      <c r="E24" t="s">
        <v>217</v>
      </c>
      <c r="F24">
        <v>99</v>
      </c>
      <c r="G24" t="s">
        <v>23</v>
      </c>
      <c r="H24" s="1">
        <v>45721.915277777778</v>
      </c>
      <c r="I24" t="str">
        <f>"0151092"</f>
        <v>0151092</v>
      </c>
      <c r="J24">
        <v>1774</v>
      </c>
      <c r="K24" t="str">
        <f>"0530"</f>
        <v>0530</v>
      </c>
      <c r="L24">
        <v>1</v>
      </c>
      <c r="M24" t="s">
        <v>24</v>
      </c>
      <c r="N24" t="s">
        <v>218</v>
      </c>
      <c r="Q24" t="s">
        <v>33</v>
      </c>
      <c r="R24" t="s">
        <v>27</v>
      </c>
      <c r="T24">
        <v>49147938</v>
      </c>
      <c r="U24">
        <v>86001446</v>
      </c>
      <c r="V24">
        <v>127622</v>
      </c>
    </row>
    <row r="25" spans="1:22" x14ac:dyDescent="0.2">
      <c r="B25" t="s">
        <v>205</v>
      </c>
      <c r="F25">
        <v>100</v>
      </c>
      <c r="G25" t="s">
        <v>23</v>
      </c>
      <c r="H25" s="1">
        <v>45721.915972222225</v>
      </c>
      <c r="I25">
        <v>2662129</v>
      </c>
      <c r="J25">
        <v>4037</v>
      </c>
      <c r="K25" t="str">
        <f>"0131"</f>
        <v>0131</v>
      </c>
      <c r="L25">
        <v>1</v>
      </c>
      <c r="M25" t="s">
        <v>24</v>
      </c>
      <c r="N25" t="s">
        <v>166</v>
      </c>
      <c r="Q25" t="s">
        <v>26</v>
      </c>
      <c r="R25" t="s">
        <v>27</v>
      </c>
      <c r="T25">
        <v>49147995</v>
      </c>
      <c r="U25">
        <v>86001449</v>
      </c>
      <c r="V25">
        <v>127625</v>
      </c>
    </row>
    <row r="26" spans="1:22" x14ac:dyDescent="0.2">
      <c r="A26">
        <v>325948768</v>
      </c>
      <c r="B26" t="s">
        <v>206</v>
      </c>
      <c r="C26" t="s">
        <v>207</v>
      </c>
      <c r="D26" t="s">
        <v>208</v>
      </c>
      <c r="E26" t="s">
        <v>209</v>
      </c>
      <c r="F26">
        <v>21</v>
      </c>
      <c r="G26" t="s">
        <v>23</v>
      </c>
      <c r="H26" s="1">
        <v>45721.915972222225</v>
      </c>
      <c r="I26">
        <v>2659170</v>
      </c>
      <c r="J26">
        <v>4491</v>
      </c>
      <c r="K26" t="str">
        <f>"0230"</f>
        <v>0230</v>
      </c>
      <c r="L26">
        <v>1</v>
      </c>
      <c r="M26" t="s">
        <v>24</v>
      </c>
      <c r="N26" t="s">
        <v>210</v>
      </c>
      <c r="O26" t="s">
        <v>211</v>
      </c>
      <c r="P26">
        <v>633</v>
      </c>
      <c r="Q26" t="s">
        <v>26</v>
      </c>
      <c r="R26" t="s">
        <v>27</v>
      </c>
      <c r="T26">
        <v>49147967</v>
      </c>
      <c r="U26">
        <v>86001448</v>
      </c>
      <c r="V26">
        <v>127624</v>
      </c>
    </row>
    <row r="27" spans="1:22" x14ac:dyDescent="0.2">
      <c r="B27" t="s">
        <v>198</v>
      </c>
      <c r="F27">
        <v>100</v>
      </c>
      <c r="G27" t="s">
        <v>23</v>
      </c>
      <c r="H27" s="1">
        <v>45721.916666666664</v>
      </c>
      <c r="I27">
        <v>2664059</v>
      </c>
      <c r="J27" t="str">
        <f>"0870"</f>
        <v>0870</v>
      </c>
      <c r="K27">
        <v>1126</v>
      </c>
      <c r="L27">
        <v>1</v>
      </c>
      <c r="M27" t="s">
        <v>24</v>
      </c>
      <c r="N27" t="s">
        <v>199</v>
      </c>
      <c r="Q27" t="s">
        <v>26</v>
      </c>
      <c r="R27" t="s">
        <v>27</v>
      </c>
      <c r="T27">
        <v>49148024</v>
      </c>
      <c r="U27">
        <v>86001451</v>
      </c>
      <c r="V27">
        <v>127627</v>
      </c>
    </row>
    <row r="28" spans="1:22" x14ac:dyDescent="0.2">
      <c r="A28">
        <v>337579965</v>
      </c>
      <c r="B28" t="s">
        <v>200</v>
      </c>
      <c r="C28" t="s">
        <v>201</v>
      </c>
      <c r="D28" t="s">
        <v>202</v>
      </c>
      <c r="E28" t="s">
        <v>203</v>
      </c>
      <c r="F28">
        <v>36</v>
      </c>
      <c r="G28" t="s">
        <v>23</v>
      </c>
      <c r="H28" s="1">
        <v>45721.916666666664</v>
      </c>
      <c r="I28">
        <v>2662720</v>
      </c>
      <c r="J28">
        <v>8092</v>
      </c>
      <c r="K28" t="str">
        <f>"0929"</f>
        <v>0929</v>
      </c>
      <c r="L28">
        <v>1</v>
      </c>
      <c r="M28" t="s">
        <v>24</v>
      </c>
      <c r="N28" t="s">
        <v>204</v>
      </c>
      <c r="Q28" t="s">
        <v>26</v>
      </c>
      <c r="R28" t="s">
        <v>27</v>
      </c>
      <c r="T28">
        <v>49148000</v>
      </c>
      <c r="U28">
        <v>86001450</v>
      </c>
      <c r="V28">
        <v>127626</v>
      </c>
    </row>
    <row r="29" spans="1:22" x14ac:dyDescent="0.2">
      <c r="A29">
        <v>329179600</v>
      </c>
      <c r="B29" t="s">
        <v>197</v>
      </c>
      <c r="F29">
        <v>120</v>
      </c>
      <c r="G29" t="s">
        <v>23</v>
      </c>
      <c r="H29" s="1">
        <v>45721.918749999997</v>
      </c>
      <c r="I29">
        <v>41634</v>
      </c>
      <c r="J29">
        <v>5983</v>
      </c>
      <c r="K29" t="str">
        <f>"0729"</f>
        <v>0729</v>
      </c>
      <c r="L29">
        <v>1</v>
      </c>
      <c r="M29" t="s">
        <v>24</v>
      </c>
      <c r="N29" t="s">
        <v>197</v>
      </c>
      <c r="Q29" t="s">
        <v>33</v>
      </c>
      <c r="R29" t="s">
        <v>27</v>
      </c>
      <c r="T29">
        <v>49148138</v>
      </c>
      <c r="U29">
        <v>86001452</v>
      </c>
      <c r="V29">
        <v>127628</v>
      </c>
    </row>
    <row r="30" spans="1:22" x14ac:dyDescent="0.2">
      <c r="A30">
        <v>213239601</v>
      </c>
      <c r="C30" t="s">
        <v>192</v>
      </c>
      <c r="D30" t="s">
        <v>193</v>
      </c>
      <c r="E30" t="s">
        <v>194</v>
      </c>
      <c r="F30">
        <v>50</v>
      </c>
      <c r="G30" t="s">
        <v>23</v>
      </c>
      <c r="H30" s="1">
        <v>45721.919444444444</v>
      </c>
      <c r="I30" t="str">
        <f>"0000000"</f>
        <v>0000000</v>
      </c>
      <c r="J30">
        <v>4951</v>
      </c>
      <c r="L30">
        <v>1</v>
      </c>
      <c r="M30" t="s">
        <v>24</v>
      </c>
      <c r="N30" t="s">
        <v>195</v>
      </c>
      <c r="Q30" t="s">
        <v>196</v>
      </c>
      <c r="R30">
        <v>30</v>
      </c>
      <c r="T30">
        <v>49148160</v>
      </c>
      <c r="V30">
        <v>127629</v>
      </c>
    </row>
    <row r="31" spans="1:22" x14ac:dyDescent="0.2">
      <c r="A31">
        <v>337764161</v>
      </c>
      <c r="B31" t="s">
        <v>182</v>
      </c>
      <c r="C31" t="s">
        <v>183</v>
      </c>
      <c r="D31" t="s">
        <v>184</v>
      </c>
      <c r="E31" t="s">
        <v>185</v>
      </c>
      <c r="F31">
        <v>250</v>
      </c>
      <c r="G31" t="s">
        <v>23</v>
      </c>
      <c r="H31" s="1">
        <v>45721.920138888891</v>
      </c>
      <c r="I31">
        <v>2679706</v>
      </c>
      <c r="J31">
        <v>5938</v>
      </c>
      <c r="K31" t="str">
        <f>"0826"</f>
        <v>0826</v>
      </c>
      <c r="L31">
        <v>1</v>
      </c>
      <c r="M31" t="s">
        <v>24</v>
      </c>
      <c r="N31" t="s">
        <v>186</v>
      </c>
      <c r="Q31" t="s">
        <v>26</v>
      </c>
      <c r="R31" t="s">
        <v>27</v>
      </c>
      <c r="T31">
        <v>49148191</v>
      </c>
      <c r="U31">
        <v>86001454</v>
      </c>
      <c r="V31">
        <v>127631</v>
      </c>
    </row>
    <row r="32" spans="1:22" x14ac:dyDescent="0.2">
      <c r="A32">
        <v>327213112</v>
      </c>
      <c r="B32" t="s">
        <v>187</v>
      </c>
      <c r="C32" t="s">
        <v>188</v>
      </c>
      <c r="D32" t="s">
        <v>189</v>
      </c>
      <c r="E32" t="s">
        <v>190</v>
      </c>
      <c r="F32">
        <v>200</v>
      </c>
      <c r="G32" t="s">
        <v>23</v>
      </c>
      <c r="H32" s="1">
        <v>45721.920138888891</v>
      </c>
      <c r="I32" t="str">
        <f>"0251231"</f>
        <v>0251231</v>
      </c>
      <c r="J32" t="str">
        <f>"0487"</f>
        <v>0487</v>
      </c>
      <c r="K32" t="str">
        <f>"0530"</f>
        <v>0530</v>
      </c>
      <c r="L32">
        <v>1</v>
      </c>
      <c r="M32" t="s">
        <v>24</v>
      </c>
      <c r="N32" t="s">
        <v>191</v>
      </c>
      <c r="Q32" t="s">
        <v>26</v>
      </c>
      <c r="R32" t="s">
        <v>27</v>
      </c>
      <c r="T32">
        <v>49148180</v>
      </c>
      <c r="U32">
        <v>86001453</v>
      </c>
      <c r="V32">
        <v>127630</v>
      </c>
    </row>
    <row r="33" spans="1:22" x14ac:dyDescent="0.2">
      <c r="A33">
        <v>207590142</v>
      </c>
      <c r="B33" t="s">
        <v>172</v>
      </c>
      <c r="C33" t="s">
        <v>173</v>
      </c>
      <c r="D33">
        <v>2525254</v>
      </c>
      <c r="E33" t="s">
        <v>174</v>
      </c>
      <c r="F33">
        <v>50</v>
      </c>
      <c r="G33" t="s">
        <v>23</v>
      </c>
      <c r="H33" s="1">
        <v>45721.922222222223</v>
      </c>
      <c r="I33">
        <v>2689406</v>
      </c>
      <c r="J33">
        <v>4168</v>
      </c>
      <c r="K33">
        <v>1027</v>
      </c>
      <c r="L33">
        <v>1</v>
      </c>
      <c r="M33" t="s">
        <v>24</v>
      </c>
      <c r="N33" t="s">
        <v>175</v>
      </c>
      <c r="O33" t="s">
        <v>176</v>
      </c>
      <c r="P33">
        <v>1992</v>
      </c>
      <c r="Q33" t="s">
        <v>26</v>
      </c>
      <c r="R33" t="s">
        <v>27</v>
      </c>
      <c r="T33">
        <v>49148390</v>
      </c>
      <c r="U33">
        <v>86001456</v>
      </c>
      <c r="V33">
        <v>127634</v>
      </c>
    </row>
    <row r="34" spans="1:22" x14ac:dyDescent="0.2">
      <c r="A34" t="str">
        <f>"061264032"</f>
        <v>061264032</v>
      </c>
      <c r="B34" t="s">
        <v>177</v>
      </c>
      <c r="C34" t="s">
        <v>178</v>
      </c>
      <c r="D34" t="s">
        <v>179</v>
      </c>
      <c r="E34" t="s">
        <v>180</v>
      </c>
      <c r="F34">
        <v>250</v>
      </c>
      <c r="G34" t="s">
        <v>23</v>
      </c>
      <c r="H34" s="1">
        <v>45721.922222222223</v>
      </c>
      <c r="I34" t="str">
        <f>"0294256"</f>
        <v>0294256</v>
      </c>
      <c r="J34">
        <v>9850</v>
      </c>
      <c r="K34" t="str">
        <f>"0629"</f>
        <v>0629</v>
      </c>
      <c r="L34">
        <v>1</v>
      </c>
      <c r="M34" t="s">
        <v>24</v>
      </c>
      <c r="N34" t="s">
        <v>181</v>
      </c>
      <c r="Q34" t="s">
        <v>33</v>
      </c>
      <c r="R34" t="s">
        <v>27</v>
      </c>
      <c r="T34">
        <v>49148362</v>
      </c>
      <c r="U34">
        <v>86001455</v>
      </c>
      <c r="V34">
        <v>127633</v>
      </c>
    </row>
    <row r="35" spans="1:22" x14ac:dyDescent="0.2">
      <c r="B35" t="s">
        <v>165</v>
      </c>
      <c r="F35">
        <v>375</v>
      </c>
      <c r="G35" t="s">
        <v>23</v>
      </c>
      <c r="H35" s="1">
        <v>45721.92291666667</v>
      </c>
      <c r="I35">
        <v>2692117</v>
      </c>
      <c r="J35">
        <v>8543</v>
      </c>
      <c r="K35">
        <v>1130</v>
      </c>
      <c r="L35">
        <v>1</v>
      </c>
      <c r="M35" t="s">
        <v>24</v>
      </c>
      <c r="N35" t="s">
        <v>166</v>
      </c>
      <c r="Q35" t="s">
        <v>26</v>
      </c>
      <c r="R35" t="s">
        <v>27</v>
      </c>
      <c r="T35">
        <v>49148430</v>
      </c>
      <c r="U35">
        <v>86001458</v>
      </c>
      <c r="V35">
        <v>127636</v>
      </c>
    </row>
    <row r="36" spans="1:22" x14ac:dyDescent="0.2">
      <c r="A36">
        <v>206168585</v>
      </c>
      <c r="B36" t="s">
        <v>167</v>
      </c>
      <c r="C36" t="s">
        <v>168</v>
      </c>
      <c r="D36" t="s">
        <v>169</v>
      </c>
      <c r="E36" t="s">
        <v>170</v>
      </c>
      <c r="F36">
        <v>50</v>
      </c>
      <c r="G36" t="s">
        <v>23</v>
      </c>
      <c r="H36" s="1">
        <v>45721.92291666667</v>
      </c>
      <c r="I36" t="str">
        <f>"0308866"</f>
        <v>0308866</v>
      </c>
      <c r="J36">
        <v>7217</v>
      </c>
      <c r="K36" t="str">
        <f>"0127"</f>
        <v>0127</v>
      </c>
      <c r="L36">
        <v>1</v>
      </c>
      <c r="M36" t="s">
        <v>24</v>
      </c>
      <c r="N36" t="s">
        <v>171</v>
      </c>
      <c r="Q36" t="s">
        <v>33</v>
      </c>
      <c r="R36" t="s">
        <v>27</v>
      </c>
      <c r="T36">
        <v>49148424</v>
      </c>
      <c r="U36">
        <v>86001457</v>
      </c>
      <c r="V36">
        <v>127635</v>
      </c>
    </row>
    <row r="37" spans="1:22" x14ac:dyDescent="0.2">
      <c r="B37" t="s">
        <v>164</v>
      </c>
      <c r="F37">
        <v>100</v>
      </c>
      <c r="G37" t="s">
        <v>23</v>
      </c>
      <c r="H37" s="1">
        <v>45721.923611111109</v>
      </c>
      <c r="I37">
        <v>48341</v>
      </c>
      <c r="J37">
        <v>8720</v>
      </c>
      <c r="K37" t="str">
        <f>"0330"</f>
        <v>0330</v>
      </c>
      <c r="L37">
        <v>1</v>
      </c>
      <c r="M37" t="s">
        <v>24</v>
      </c>
      <c r="N37" t="s">
        <v>153</v>
      </c>
      <c r="Q37" t="s">
        <v>33</v>
      </c>
      <c r="R37" t="s">
        <v>27</v>
      </c>
      <c r="T37">
        <v>49148484</v>
      </c>
      <c r="U37">
        <v>86001459</v>
      </c>
      <c r="V37">
        <v>127637</v>
      </c>
    </row>
    <row r="38" spans="1:22" x14ac:dyDescent="0.2">
      <c r="B38" t="s">
        <v>152</v>
      </c>
      <c r="F38">
        <v>20</v>
      </c>
      <c r="G38" t="s">
        <v>23</v>
      </c>
      <c r="H38" s="1">
        <v>45721.924305555556</v>
      </c>
      <c r="I38">
        <v>49141</v>
      </c>
      <c r="J38">
        <v>6240</v>
      </c>
      <c r="K38" t="str">
        <f>"0728"</f>
        <v>0728</v>
      </c>
      <c r="L38">
        <v>1</v>
      </c>
      <c r="M38" t="s">
        <v>24</v>
      </c>
      <c r="N38" t="s">
        <v>153</v>
      </c>
      <c r="Q38" t="s">
        <v>33</v>
      </c>
      <c r="R38" t="s">
        <v>27</v>
      </c>
      <c r="T38">
        <v>49148541</v>
      </c>
      <c r="U38">
        <v>86001462</v>
      </c>
      <c r="V38">
        <v>127640</v>
      </c>
    </row>
    <row r="39" spans="1:22" x14ac:dyDescent="0.2">
      <c r="A39">
        <v>211526942</v>
      </c>
      <c r="B39" t="s">
        <v>154</v>
      </c>
      <c r="C39" t="s">
        <v>155</v>
      </c>
      <c r="D39" t="s">
        <v>156</v>
      </c>
      <c r="E39" t="s">
        <v>157</v>
      </c>
      <c r="F39">
        <v>417</v>
      </c>
      <c r="G39" t="s">
        <v>23</v>
      </c>
      <c r="H39" s="1">
        <v>45721.924305555556</v>
      </c>
      <c r="I39" t="str">
        <f>"0334425"</f>
        <v>0334425</v>
      </c>
      <c r="J39">
        <v>8112</v>
      </c>
      <c r="K39" t="str">
        <f>"0527"</f>
        <v>0527</v>
      </c>
      <c r="L39">
        <v>1</v>
      </c>
      <c r="M39" t="s">
        <v>24</v>
      </c>
      <c r="N39" t="s">
        <v>158</v>
      </c>
      <c r="Q39" t="s">
        <v>33</v>
      </c>
      <c r="R39" t="s">
        <v>27</v>
      </c>
      <c r="T39">
        <v>49148537</v>
      </c>
      <c r="U39">
        <v>86001461</v>
      </c>
      <c r="V39">
        <v>127639</v>
      </c>
    </row>
    <row r="40" spans="1:22" x14ac:dyDescent="0.2">
      <c r="A40">
        <v>326891371</v>
      </c>
      <c r="B40" t="s">
        <v>159</v>
      </c>
      <c r="C40" t="s">
        <v>160</v>
      </c>
      <c r="D40" t="s">
        <v>161</v>
      </c>
      <c r="E40" t="s">
        <v>162</v>
      </c>
      <c r="F40">
        <v>50</v>
      </c>
      <c r="G40" t="s">
        <v>23</v>
      </c>
      <c r="H40" s="1">
        <v>45721.924305555556</v>
      </c>
      <c r="I40">
        <v>2955</v>
      </c>
      <c r="J40">
        <v>4641</v>
      </c>
      <c r="K40" t="str">
        <f>"0126"</f>
        <v>0126</v>
      </c>
      <c r="L40">
        <v>1</v>
      </c>
      <c r="M40" t="s">
        <v>24</v>
      </c>
      <c r="N40" t="s">
        <v>163</v>
      </c>
      <c r="Q40" t="s">
        <v>26</v>
      </c>
      <c r="R40" t="s">
        <v>27</v>
      </c>
      <c r="T40">
        <v>49148506</v>
      </c>
      <c r="U40">
        <v>86001460</v>
      </c>
      <c r="V40">
        <v>127638</v>
      </c>
    </row>
    <row r="41" spans="1:22" x14ac:dyDescent="0.2">
      <c r="A41">
        <v>326033180</v>
      </c>
      <c r="B41" t="s">
        <v>151</v>
      </c>
      <c r="F41">
        <v>50</v>
      </c>
      <c r="G41" t="s">
        <v>23</v>
      </c>
      <c r="H41" s="1">
        <v>45721.925000000003</v>
      </c>
      <c r="I41">
        <v>2699718</v>
      </c>
      <c r="J41">
        <v>1848</v>
      </c>
      <c r="K41" t="str">
        <f>"0226"</f>
        <v>0226</v>
      </c>
      <c r="L41">
        <v>1</v>
      </c>
      <c r="M41" t="s">
        <v>24</v>
      </c>
      <c r="N41" t="s">
        <v>95</v>
      </c>
      <c r="Q41" t="s">
        <v>26</v>
      </c>
      <c r="R41" t="s">
        <v>27</v>
      </c>
      <c r="T41">
        <v>49148567</v>
      </c>
      <c r="U41">
        <v>86001463</v>
      </c>
      <c r="V41">
        <v>127641</v>
      </c>
    </row>
    <row r="42" spans="1:22" x14ac:dyDescent="0.2">
      <c r="A42">
        <v>313532160</v>
      </c>
      <c r="B42" t="s">
        <v>143</v>
      </c>
      <c r="C42" t="s">
        <v>144</v>
      </c>
      <c r="D42" t="s">
        <v>145</v>
      </c>
      <c r="E42" t="s">
        <v>146</v>
      </c>
      <c r="F42">
        <v>200</v>
      </c>
      <c r="G42" t="s">
        <v>23</v>
      </c>
      <c r="H42" s="1">
        <v>45721.926388888889</v>
      </c>
      <c r="I42">
        <v>2706048</v>
      </c>
      <c r="J42">
        <v>6724</v>
      </c>
      <c r="K42" t="str">
        <f>"0729"</f>
        <v>0729</v>
      </c>
      <c r="L42">
        <v>1</v>
      </c>
      <c r="M42" t="s">
        <v>24</v>
      </c>
      <c r="N42" t="s">
        <v>147</v>
      </c>
      <c r="O42" t="s">
        <v>148</v>
      </c>
      <c r="P42">
        <v>9546</v>
      </c>
      <c r="Q42" t="s">
        <v>26</v>
      </c>
      <c r="R42" t="s">
        <v>27</v>
      </c>
      <c r="T42">
        <v>49148662</v>
      </c>
      <c r="U42">
        <v>86001465</v>
      </c>
      <c r="V42">
        <v>127643</v>
      </c>
    </row>
    <row r="43" spans="1:22" x14ac:dyDescent="0.2">
      <c r="A43">
        <v>347561490</v>
      </c>
      <c r="B43" t="s">
        <v>149</v>
      </c>
      <c r="F43">
        <v>80</v>
      </c>
      <c r="G43" t="s">
        <v>23</v>
      </c>
      <c r="H43" s="1">
        <v>45721.926388888889</v>
      </c>
      <c r="I43">
        <v>2704824</v>
      </c>
      <c r="J43">
        <v>9361</v>
      </c>
      <c r="K43" t="str">
        <f>"0730"</f>
        <v>0730</v>
      </c>
      <c r="L43">
        <v>1</v>
      </c>
      <c r="M43" t="s">
        <v>24</v>
      </c>
      <c r="N43" t="s">
        <v>150</v>
      </c>
      <c r="Q43" t="s">
        <v>33</v>
      </c>
      <c r="R43" t="s">
        <v>27</v>
      </c>
      <c r="T43">
        <v>49148644</v>
      </c>
      <c r="U43">
        <v>86001464</v>
      </c>
      <c r="V43">
        <v>127642</v>
      </c>
    </row>
    <row r="44" spans="1:22" x14ac:dyDescent="0.2">
      <c r="B44" t="s">
        <v>140</v>
      </c>
      <c r="F44">
        <v>50</v>
      </c>
      <c r="G44" t="s">
        <v>23</v>
      </c>
      <c r="H44" s="1">
        <v>45721.927083333336</v>
      </c>
      <c r="I44" t="str">
        <f>"0383943"</f>
        <v>0383943</v>
      </c>
      <c r="J44" t="str">
        <f>"0364"</f>
        <v>0364</v>
      </c>
      <c r="K44">
        <v>1130</v>
      </c>
      <c r="L44">
        <v>1</v>
      </c>
      <c r="M44" t="s">
        <v>24</v>
      </c>
      <c r="N44" t="s">
        <v>141</v>
      </c>
      <c r="Q44" t="s">
        <v>33</v>
      </c>
      <c r="R44" t="s">
        <v>27</v>
      </c>
      <c r="T44">
        <v>49148703</v>
      </c>
      <c r="U44">
        <v>86001467</v>
      </c>
      <c r="V44">
        <v>127645</v>
      </c>
    </row>
    <row r="45" spans="1:22" x14ac:dyDescent="0.2">
      <c r="A45">
        <v>329398143</v>
      </c>
      <c r="B45" t="s">
        <v>142</v>
      </c>
      <c r="F45">
        <v>50</v>
      </c>
      <c r="G45" t="s">
        <v>23</v>
      </c>
      <c r="H45" s="1">
        <v>45721.927083333336</v>
      </c>
      <c r="I45">
        <v>52517</v>
      </c>
      <c r="J45">
        <v>8642</v>
      </c>
      <c r="K45" t="str">
        <f>"0727"</f>
        <v>0727</v>
      </c>
      <c r="L45">
        <v>1</v>
      </c>
      <c r="M45" t="s">
        <v>24</v>
      </c>
      <c r="N45" t="s">
        <v>142</v>
      </c>
      <c r="Q45" t="s">
        <v>33</v>
      </c>
      <c r="R45" t="s">
        <v>27</v>
      </c>
      <c r="T45">
        <v>49148690</v>
      </c>
      <c r="U45">
        <v>86001466</v>
      </c>
      <c r="V45">
        <v>127644</v>
      </c>
    </row>
    <row r="46" spans="1:22" x14ac:dyDescent="0.2">
      <c r="A46" t="str">
        <f>"040426330"</f>
        <v>040426330</v>
      </c>
      <c r="B46" t="s">
        <v>135</v>
      </c>
      <c r="C46" t="s">
        <v>136</v>
      </c>
      <c r="D46" t="s">
        <v>137</v>
      </c>
      <c r="E46" t="s">
        <v>138</v>
      </c>
      <c r="F46">
        <v>550</v>
      </c>
      <c r="G46" t="s">
        <v>23</v>
      </c>
      <c r="H46" s="1">
        <v>45721.927777777775</v>
      </c>
      <c r="I46">
        <v>53786</v>
      </c>
      <c r="J46">
        <v>5525</v>
      </c>
      <c r="K46" t="str">
        <f>"0630"</f>
        <v>0630</v>
      </c>
      <c r="L46">
        <v>1</v>
      </c>
      <c r="M46" t="s">
        <v>24</v>
      </c>
      <c r="N46" t="s">
        <v>139</v>
      </c>
      <c r="Q46" t="s">
        <v>33</v>
      </c>
      <c r="R46" t="s">
        <v>27</v>
      </c>
      <c r="T46">
        <v>49148757</v>
      </c>
      <c r="U46">
        <v>86001468</v>
      </c>
      <c r="V46">
        <v>127646</v>
      </c>
    </row>
    <row r="47" spans="1:22" x14ac:dyDescent="0.2">
      <c r="A47" t="str">
        <f>"033282427"</f>
        <v>033282427</v>
      </c>
      <c r="B47" t="s">
        <v>123</v>
      </c>
      <c r="C47" t="s">
        <v>124</v>
      </c>
      <c r="D47" t="s">
        <v>125</v>
      </c>
      <c r="E47" t="s">
        <v>126</v>
      </c>
      <c r="F47">
        <v>360</v>
      </c>
      <c r="G47" t="s">
        <v>23</v>
      </c>
      <c r="H47" s="1">
        <v>45721.928472222222</v>
      </c>
      <c r="I47">
        <v>2713691</v>
      </c>
      <c r="J47">
        <v>2653</v>
      </c>
      <c r="K47">
        <v>1228</v>
      </c>
      <c r="L47">
        <v>1</v>
      </c>
      <c r="M47" t="s">
        <v>24</v>
      </c>
      <c r="N47" t="s">
        <v>127</v>
      </c>
      <c r="Q47" t="s">
        <v>26</v>
      </c>
      <c r="R47" t="s">
        <v>27</v>
      </c>
      <c r="T47">
        <v>49148787</v>
      </c>
      <c r="U47">
        <v>86001471</v>
      </c>
      <c r="V47">
        <v>127649</v>
      </c>
    </row>
    <row r="48" spans="1:22" x14ac:dyDescent="0.2">
      <c r="B48" t="s">
        <v>128</v>
      </c>
      <c r="F48">
        <v>100</v>
      </c>
      <c r="G48" t="s">
        <v>23</v>
      </c>
      <c r="H48" s="1">
        <v>45721.928472222222</v>
      </c>
      <c r="I48">
        <v>54248</v>
      </c>
      <c r="J48" t="str">
        <f>"0520"</f>
        <v>0520</v>
      </c>
      <c r="K48">
        <v>1130</v>
      </c>
      <c r="L48">
        <v>1</v>
      </c>
      <c r="M48" t="s">
        <v>24</v>
      </c>
      <c r="N48" t="s">
        <v>129</v>
      </c>
      <c r="Q48" t="s">
        <v>33</v>
      </c>
      <c r="R48" t="s">
        <v>27</v>
      </c>
      <c r="T48">
        <v>49148784</v>
      </c>
      <c r="U48">
        <v>86001470</v>
      </c>
      <c r="V48">
        <v>127648</v>
      </c>
    </row>
    <row r="49" spans="1:22" x14ac:dyDescent="0.2">
      <c r="A49">
        <v>325959252</v>
      </c>
      <c r="B49" t="s">
        <v>130</v>
      </c>
      <c r="C49" t="s">
        <v>131</v>
      </c>
      <c r="D49" t="s">
        <v>132</v>
      </c>
      <c r="E49" t="s">
        <v>133</v>
      </c>
      <c r="F49">
        <v>20</v>
      </c>
      <c r="G49" t="s">
        <v>23</v>
      </c>
      <c r="H49" s="1">
        <v>45721.928472222222</v>
      </c>
      <c r="I49">
        <v>54097</v>
      </c>
      <c r="J49">
        <v>2022</v>
      </c>
      <c r="K49">
        <v>1230</v>
      </c>
      <c r="L49">
        <v>1</v>
      </c>
      <c r="M49" t="s">
        <v>24</v>
      </c>
      <c r="N49" t="s">
        <v>134</v>
      </c>
      <c r="Q49" t="s">
        <v>33</v>
      </c>
      <c r="R49" t="s">
        <v>27</v>
      </c>
      <c r="T49">
        <v>49148776</v>
      </c>
      <c r="U49">
        <v>86001469</v>
      </c>
      <c r="V49">
        <v>127647</v>
      </c>
    </row>
    <row r="50" spans="1:22" x14ac:dyDescent="0.2">
      <c r="A50" t="str">
        <f>"022869481"</f>
        <v>022869481</v>
      </c>
      <c r="B50" t="s">
        <v>122</v>
      </c>
      <c r="F50">
        <v>299</v>
      </c>
      <c r="G50" t="s">
        <v>23</v>
      </c>
      <c r="H50" s="1">
        <v>45721.929166666669</v>
      </c>
      <c r="I50" t="str">
        <f>"0423384"</f>
        <v>0423384</v>
      </c>
      <c r="J50">
        <v>8269</v>
      </c>
      <c r="K50">
        <v>1030</v>
      </c>
      <c r="L50">
        <v>1</v>
      </c>
      <c r="M50" t="s">
        <v>24</v>
      </c>
      <c r="N50" t="s">
        <v>121</v>
      </c>
      <c r="Q50" t="s">
        <v>33</v>
      </c>
      <c r="R50" t="s">
        <v>27</v>
      </c>
      <c r="T50">
        <v>49148852</v>
      </c>
      <c r="U50">
        <v>86001472</v>
      </c>
      <c r="V50">
        <v>127650</v>
      </c>
    </row>
    <row r="51" spans="1:22" x14ac:dyDescent="0.2">
      <c r="B51" t="s">
        <v>120</v>
      </c>
      <c r="F51">
        <v>51</v>
      </c>
      <c r="G51" t="s">
        <v>23</v>
      </c>
      <c r="H51" s="1">
        <v>45721.929861111108</v>
      </c>
      <c r="I51" t="str">
        <f>"0436899"</f>
        <v>0436899</v>
      </c>
      <c r="J51">
        <v>8269</v>
      </c>
      <c r="K51">
        <v>1030</v>
      </c>
      <c r="L51">
        <v>1</v>
      </c>
      <c r="M51" t="s">
        <v>24</v>
      </c>
      <c r="N51" t="s">
        <v>121</v>
      </c>
      <c r="Q51" t="s">
        <v>33</v>
      </c>
      <c r="R51" t="s">
        <v>27</v>
      </c>
      <c r="T51">
        <v>49148904</v>
      </c>
      <c r="U51">
        <v>86001473</v>
      </c>
      <c r="V51">
        <v>127651</v>
      </c>
    </row>
    <row r="52" spans="1:22" x14ac:dyDescent="0.2">
      <c r="A52" t="str">
        <f>"058144155"</f>
        <v>058144155</v>
      </c>
      <c r="B52" t="s">
        <v>116</v>
      </c>
      <c r="D52" t="s">
        <v>117</v>
      </c>
      <c r="E52" t="s">
        <v>118</v>
      </c>
      <c r="F52">
        <v>200</v>
      </c>
      <c r="G52" t="s">
        <v>23</v>
      </c>
      <c r="H52" s="1">
        <v>45721.930555555555</v>
      </c>
      <c r="I52">
        <v>2723352</v>
      </c>
      <c r="J52">
        <v>8346</v>
      </c>
      <c r="K52" t="str">
        <f>"0329"</f>
        <v>0329</v>
      </c>
      <c r="L52">
        <v>1</v>
      </c>
      <c r="M52" t="s">
        <v>24</v>
      </c>
      <c r="N52" t="s">
        <v>119</v>
      </c>
      <c r="Q52" t="s">
        <v>33</v>
      </c>
      <c r="R52" t="s">
        <v>27</v>
      </c>
      <c r="T52">
        <v>49148978</v>
      </c>
      <c r="U52">
        <v>86001474</v>
      </c>
      <c r="V52">
        <v>127652</v>
      </c>
    </row>
    <row r="53" spans="1:22" x14ac:dyDescent="0.2">
      <c r="B53" t="s">
        <v>109</v>
      </c>
      <c r="F53">
        <v>75</v>
      </c>
      <c r="G53" t="s">
        <v>23</v>
      </c>
      <c r="H53" s="1">
        <v>45721.931250000001</v>
      </c>
      <c r="I53">
        <v>2726463</v>
      </c>
      <c r="J53">
        <v>2756</v>
      </c>
      <c r="K53" t="str">
        <f>"0725"</f>
        <v>0725</v>
      </c>
      <c r="L53">
        <v>1</v>
      </c>
      <c r="M53" t="s">
        <v>24</v>
      </c>
      <c r="N53" t="s">
        <v>110</v>
      </c>
      <c r="Q53" t="s">
        <v>26</v>
      </c>
      <c r="R53" t="s">
        <v>27</v>
      </c>
      <c r="T53">
        <v>49149029</v>
      </c>
      <c r="U53">
        <v>86001476</v>
      </c>
      <c r="V53">
        <v>127654</v>
      </c>
    </row>
    <row r="54" spans="1:22" x14ac:dyDescent="0.2">
      <c r="A54">
        <v>208287276</v>
      </c>
      <c r="B54" t="s">
        <v>111</v>
      </c>
      <c r="C54" t="s">
        <v>112</v>
      </c>
      <c r="D54" t="s">
        <v>113</v>
      </c>
      <c r="E54" t="s">
        <v>114</v>
      </c>
      <c r="F54">
        <v>100</v>
      </c>
      <c r="G54" t="s">
        <v>23</v>
      </c>
      <c r="H54" s="1">
        <v>45721.931250000001</v>
      </c>
      <c r="I54">
        <v>2725682</v>
      </c>
      <c r="J54">
        <v>9762</v>
      </c>
      <c r="K54">
        <v>1230</v>
      </c>
      <c r="L54">
        <v>1</v>
      </c>
      <c r="M54" t="s">
        <v>24</v>
      </c>
      <c r="N54" t="s">
        <v>115</v>
      </c>
      <c r="Q54" t="s">
        <v>26</v>
      </c>
      <c r="R54" t="s">
        <v>27</v>
      </c>
      <c r="T54">
        <v>49149018</v>
      </c>
      <c r="U54">
        <v>86001475</v>
      </c>
      <c r="V54">
        <v>127653</v>
      </c>
    </row>
    <row r="55" spans="1:22" x14ac:dyDescent="0.2">
      <c r="B55" t="s">
        <v>100</v>
      </c>
      <c r="F55">
        <v>70</v>
      </c>
      <c r="G55" t="s">
        <v>23</v>
      </c>
      <c r="H55" s="1">
        <v>45721.932638888888</v>
      </c>
      <c r="I55" t="str">
        <f>"0487496"</f>
        <v>0487496</v>
      </c>
      <c r="J55" t="str">
        <f>"0876"</f>
        <v>0876</v>
      </c>
      <c r="K55" t="str">
        <f>"0530"</f>
        <v>0530</v>
      </c>
      <c r="L55">
        <v>1</v>
      </c>
      <c r="M55" t="s">
        <v>24</v>
      </c>
      <c r="N55" t="s">
        <v>100</v>
      </c>
      <c r="Q55" t="s">
        <v>33</v>
      </c>
      <c r="R55" t="s">
        <v>27</v>
      </c>
      <c r="T55">
        <v>49149116</v>
      </c>
      <c r="U55">
        <v>86001479</v>
      </c>
      <c r="V55">
        <v>127657</v>
      </c>
    </row>
    <row r="56" spans="1:22" x14ac:dyDescent="0.2">
      <c r="B56" t="s">
        <v>101</v>
      </c>
      <c r="C56" t="s">
        <v>102</v>
      </c>
      <c r="D56" t="s">
        <v>103</v>
      </c>
      <c r="E56" t="s">
        <v>104</v>
      </c>
      <c r="F56">
        <v>70</v>
      </c>
      <c r="G56" t="s">
        <v>23</v>
      </c>
      <c r="H56" s="1">
        <v>45721.932638888888</v>
      </c>
      <c r="I56" t="str">
        <f>"0485342"</f>
        <v>0485342</v>
      </c>
      <c r="J56">
        <v>9184</v>
      </c>
      <c r="K56">
        <v>1228</v>
      </c>
      <c r="L56">
        <v>1</v>
      </c>
      <c r="M56" t="s">
        <v>24</v>
      </c>
      <c r="N56" t="s">
        <v>105</v>
      </c>
      <c r="Q56" t="s">
        <v>26</v>
      </c>
      <c r="R56" t="s">
        <v>27</v>
      </c>
      <c r="T56">
        <v>49149109</v>
      </c>
      <c r="U56">
        <v>86001478</v>
      </c>
      <c r="V56">
        <v>127656</v>
      </c>
    </row>
    <row r="57" spans="1:22" x14ac:dyDescent="0.2">
      <c r="B57" t="s">
        <v>106</v>
      </c>
      <c r="C57" t="s">
        <v>107</v>
      </c>
      <c r="F57">
        <v>50</v>
      </c>
      <c r="G57" t="s">
        <v>23</v>
      </c>
      <c r="H57" s="1">
        <v>45721.932638888888</v>
      </c>
      <c r="I57">
        <v>2729516</v>
      </c>
      <c r="J57">
        <v>6766</v>
      </c>
      <c r="K57" t="str">
        <f>"0526"</f>
        <v>0526</v>
      </c>
      <c r="L57">
        <v>1</v>
      </c>
      <c r="M57" t="s">
        <v>24</v>
      </c>
      <c r="N57" t="s">
        <v>108</v>
      </c>
      <c r="Q57" t="s">
        <v>26</v>
      </c>
      <c r="R57" t="s">
        <v>27</v>
      </c>
      <c r="T57">
        <v>49149086</v>
      </c>
      <c r="U57">
        <v>86001477</v>
      </c>
      <c r="V57">
        <v>127655</v>
      </c>
    </row>
    <row r="58" spans="1:22" x14ac:dyDescent="0.2">
      <c r="A58" t="str">
        <f>"031662059"</f>
        <v>031662059</v>
      </c>
      <c r="B58" t="s">
        <v>94</v>
      </c>
      <c r="F58">
        <v>200</v>
      </c>
      <c r="G58" t="s">
        <v>23</v>
      </c>
      <c r="H58" s="1">
        <v>45721.934027777781</v>
      </c>
      <c r="I58">
        <v>61535</v>
      </c>
      <c r="J58">
        <v>5520</v>
      </c>
      <c r="K58" t="str">
        <f>"0628"</f>
        <v>0628</v>
      </c>
      <c r="L58">
        <v>1</v>
      </c>
      <c r="M58" t="s">
        <v>24</v>
      </c>
      <c r="N58" t="s">
        <v>95</v>
      </c>
      <c r="Q58" t="s">
        <v>33</v>
      </c>
      <c r="R58" t="s">
        <v>27</v>
      </c>
      <c r="T58">
        <v>49149187</v>
      </c>
      <c r="U58">
        <v>86001481</v>
      </c>
      <c r="V58">
        <v>127659</v>
      </c>
    </row>
    <row r="59" spans="1:22" x14ac:dyDescent="0.2">
      <c r="B59" t="s">
        <v>96</v>
      </c>
      <c r="C59" t="s">
        <v>97</v>
      </c>
      <c r="D59" t="s">
        <v>98</v>
      </c>
      <c r="E59" t="s">
        <v>99</v>
      </c>
      <c r="F59">
        <v>360</v>
      </c>
      <c r="G59" t="s">
        <v>23</v>
      </c>
      <c r="H59" s="1">
        <v>45721.934027777781</v>
      </c>
      <c r="I59">
        <v>2735393</v>
      </c>
      <c r="J59" t="str">
        <f>"0793"</f>
        <v>0793</v>
      </c>
      <c r="K59" t="str">
        <f>"0190"</f>
        <v>0190</v>
      </c>
      <c r="L59">
        <v>1</v>
      </c>
      <c r="M59" t="s">
        <v>24</v>
      </c>
      <c r="Q59" t="s">
        <v>26</v>
      </c>
      <c r="R59" t="s">
        <v>27</v>
      </c>
      <c r="T59">
        <v>49149168</v>
      </c>
      <c r="U59">
        <v>86001480</v>
      </c>
      <c r="V59">
        <v>127658</v>
      </c>
    </row>
    <row r="60" spans="1:22" x14ac:dyDescent="0.2">
      <c r="A60">
        <v>326323250</v>
      </c>
      <c r="B60" t="s">
        <v>84</v>
      </c>
      <c r="C60" t="s">
        <v>85</v>
      </c>
      <c r="D60" t="s">
        <v>86</v>
      </c>
      <c r="E60" t="s">
        <v>87</v>
      </c>
      <c r="F60">
        <v>30</v>
      </c>
      <c r="G60" t="s">
        <v>23</v>
      </c>
      <c r="H60" s="1">
        <v>45721.935416666667</v>
      </c>
      <c r="I60">
        <v>2741866</v>
      </c>
      <c r="J60">
        <v>5877</v>
      </c>
      <c r="K60" t="str">
        <f>"0830"</f>
        <v>0830</v>
      </c>
      <c r="L60">
        <v>1</v>
      </c>
      <c r="M60" t="s">
        <v>24</v>
      </c>
      <c r="N60" t="s">
        <v>88</v>
      </c>
      <c r="Q60" t="s">
        <v>26</v>
      </c>
      <c r="R60" t="s">
        <v>27</v>
      </c>
      <c r="T60">
        <v>49149260</v>
      </c>
      <c r="U60">
        <v>86001483</v>
      </c>
      <c r="V60">
        <v>127661</v>
      </c>
    </row>
    <row r="61" spans="1:22" x14ac:dyDescent="0.2">
      <c r="A61" t="str">
        <f>"056489214"</f>
        <v>056489214</v>
      </c>
      <c r="B61" t="s">
        <v>89</v>
      </c>
      <c r="C61" t="s">
        <v>90</v>
      </c>
      <c r="D61" t="s">
        <v>91</v>
      </c>
      <c r="E61" t="s">
        <v>92</v>
      </c>
      <c r="F61">
        <v>100</v>
      </c>
      <c r="G61" t="s">
        <v>23</v>
      </c>
      <c r="H61" s="1">
        <v>45721.935416666667</v>
      </c>
      <c r="I61">
        <v>2741675</v>
      </c>
      <c r="J61">
        <v>5059</v>
      </c>
      <c r="K61" t="str">
        <f>"0727"</f>
        <v>0727</v>
      </c>
      <c r="L61">
        <v>1</v>
      </c>
      <c r="M61" t="s">
        <v>24</v>
      </c>
      <c r="N61" t="s">
        <v>93</v>
      </c>
      <c r="Q61" t="s">
        <v>26</v>
      </c>
      <c r="R61" t="s">
        <v>27</v>
      </c>
      <c r="T61">
        <v>49149256</v>
      </c>
      <c r="U61">
        <v>86001482</v>
      </c>
      <c r="V61">
        <v>127660</v>
      </c>
    </row>
    <row r="62" spans="1:22" x14ac:dyDescent="0.2">
      <c r="B62" t="s">
        <v>49</v>
      </c>
      <c r="E62" t="s">
        <v>56</v>
      </c>
      <c r="F62">
        <v>150</v>
      </c>
      <c r="G62" t="s">
        <v>23</v>
      </c>
      <c r="H62" s="1">
        <v>45721.936111111114</v>
      </c>
      <c r="I62">
        <v>2743014</v>
      </c>
      <c r="J62">
        <v>9383</v>
      </c>
      <c r="K62" t="str">
        <f>"0630"</f>
        <v>0630</v>
      </c>
      <c r="L62">
        <v>1</v>
      </c>
      <c r="M62" t="s">
        <v>24</v>
      </c>
      <c r="N62" t="s">
        <v>50</v>
      </c>
      <c r="Q62" t="s">
        <v>33</v>
      </c>
      <c r="R62" t="s">
        <v>27</v>
      </c>
      <c r="T62">
        <v>49149283</v>
      </c>
      <c r="U62">
        <v>86001484</v>
      </c>
      <c r="V62">
        <v>127662</v>
      </c>
    </row>
    <row r="63" spans="1:22" x14ac:dyDescent="0.2">
      <c r="A63">
        <v>324980168</v>
      </c>
      <c r="B63" t="s">
        <v>80</v>
      </c>
      <c r="C63" t="s">
        <v>81</v>
      </c>
      <c r="D63" t="s">
        <v>82</v>
      </c>
      <c r="E63" t="s">
        <v>83</v>
      </c>
      <c r="F63">
        <v>80</v>
      </c>
      <c r="G63" t="s">
        <v>23</v>
      </c>
      <c r="H63" s="1">
        <v>45721.936805555553</v>
      </c>
      <c r="I63">
        <v>64910</v>
      </c>
      <c r="J63">
        <v>5749</v>
      </c>
      <c r="K63" t="str">
        <f>"0129"</f>
        <v>0129</v>
      </c>
      <c r="L63">
        <v>1</v>
      </c>
      <c r="M63" t="s">
        <v>24</v>
      </c>
      <c r="Q63" t="s">
        <v>33</v>
      </c>
      <c r="R63" t="s">
        <v>27</v>
      </c>
      <c r="T63">
        <v>49149355</v>
      </c>
      <c r="U63">
        <v>86001485</v>
      </c>
      <c r="V63">
        <v>127663</v>
      </c>
    </row>
    <row r="64" spans="1:22" x14ac:dyDescent="0.2">
      <c r="B64" t="s">
        <v>73</v>
      </c>
      <c r="F64">
        <v>180</v>
      </c>
      <c r="G64" t="s">
        <v>23</v>
      </c>
      <c r="H64" s="1">
        <v>45721.9375</v>
      </c>
      <c r="I64" t="str">
        <f>"0562223"</f>
        <v>0562223</v>
      </c>
      <c r="J64">
        <v>6116</v>
      </c>
      <c r="K64" t="str">
        <f>"0327"</f>
        <v>0327</v>
      </c>
      <c r="L64">
        <v>1</v>
      </c>
      <c r="M64" t="s">
        <v>24</v>
      </c>
      <c r="N64" t="s">
        <v>74</v>
      </c>
      <c r="Q64" t="s">
        <v>33</v>
      </c>
      <c r="R64" t="s">
        <v>27</v>
      </c>
      <c r="T64">
        <v>49149374</v>
      </c>
      <c r="U64">
        <v>86001487</v>
      </c>
      <c r="V64">
        <v>127665</v>
      </c>
    </row>
    <row r="65" spans="1:22" x14ac:dyDescent="0.2">
      <c r="A65">
        <v>310057054</v>
      </c>
      <c r="B65" t="s">
        <v>75</v>
      </c>
      <c r="C65" t="s">
        <v>76</v>
      </c>
      <c r="D65" t="s">
        <v>77</v>
      </c>
      <c r="E65" t="s">
        <v>78</v>
      </c>
      <c r="F65">
        <v>50</v>
      </c>
      <c r="G65" t="s">
        <v>23</v>
      </c>
      <c r="H65" s="1">
        <v>45721.9375</v>
      </c>
      <c r="I65" t="str">
        <f>"0560409"</f>
        <v>0560409</v>
      </c>
      <c r="J65">
        <v>6341</v>
      </c>
      <c r="K65" t="str">
        <f>"0130"</f>
        <v>0130</v>
      </c>
      <c r="L65">
        <v>1</v>
      </c>
      <c r="M65" t="s">
        <v>24</v>
      </c>
      <c r="N65" t="s">
        <v>79</v>
      </c>
      <c r="Q65" t="s">
        <v>33</v>
      </c>
      <c r="R65" t="s">
        <v>27</v>
      </c>
      <c r="T65">
        <v>49149367</v>
      </c>
      <c r="U65">
        <v>86001486</v>
      </c>
      <c r="V65">
        <v>127664</v>
      </c>
    </row>
    <row r="66" spans="1:22" x14ac:dyDescent="0.2">
      <c r="A66" t="str">
        <f>"011989480"</f>
        <v>011989480</v>
      </c>
      <c r="B66" t="s">
        <v>63</v>
      </c>
      <c r="C66" t="s">
        <v>64</v>
      </c>
      <c r="D66" t="s">
        <v>65</v>
      </c>
      <c r="E66" t="s">
        <v>66</v>
      </c>
      <c r="F66">
        <v>150</v>
      </c>
      <c r="G66" t="s">
        <v>23</v>
      </c>
      <c r="H66" s="1">
        <v>45721.938194444447</v>
      </c>
      <c r="I66">
        <v>2752313</v>
      </c>
      <c r="J66">
        <v>2532</v>
      </c>
      <c r="K66">
        <v>1027</v>
      </c>
      <c r="L66">
        <v>1</v>
      </c>
      <c r="M66" t="s">
        <v>24</v>
      </c>
      <c r="N66" t="s">
        <v>67</v>
      </c>
      <c r="Q66" t="s">
        <v>26</v>
      </c>
      <c r="R66" t="s">
        <v>27</v>
      </c>
      <c r="T66">
        <v>49149436</v>
      </c>
      <c r="U66">
        <v>86001489</v>
      </c>
      <c r="V66">
        <v>127667</v>
      </c>
    </row>
    <row r="67" spans="1:22" x14ac:dyDescent="0.2">
      <c r="A67">
        <v>315919795</v>
      </c>
      <c r="B67" t="s">
        <v>68</v>
      </c>
      <c r="C67" t="s">
        <v>69</v>
      </c>
      <c r="D67" t="s">
        <v>70</v>
      </c>
      <c r="E67" t="s">
        <v>71</v>
      </c>
      <c r="F67">
        <v>350</v>
      </c>
      <c r="G67" t="s">
        <v>23</v>
      </c>
      <c r="H67" s="1">
        <v>45721.938194444447</v>
      </c>
      <c r="I67">
        <v>2751324</v>
      </c>
      <c r="J67">
        <v>4835</v>
      </c>
      <c r="K67">
        <v>1027</v>
      </c>
      <c r="L67">
        <v>1</v>
      </c>
      <c r="M67" t="s">
        <v>24</v>
      </c>
      <c r="N67" t="s">
        <v>72</v>
      </c>
      <c r="Q67" t="s">
        <v>26</v>
      </c>
      <c r="R67" t="s">
        <v>27</v>
      </c>
      <c r="T67">
        <v>49149420</v>
      </c>
      <c r="U67">
        <v>86001488</v>
      </c>
      <c r="V67">
        <v>127666</v>
      </c>
    </row>
    <row r="68" spans="1:22" x14ac:dyDescent="0.2">
      <c r="A68">
        <v>215763208</v>
      </c>
      <c r="B68" t="s">
        <v>57</v>
      </c>
      <c r="C68" t="s">
        <v>58</v>
      </c>
      <c r="D68" t="s">
        <v>59</v>
      </c>
      <c r="E68" t="s">
        <v>60</v>
      </c>
      <c r="F68">
        <v>100</v>
      </c>
      <c r="G68" t="s">
        <v>23</v>
      </c>
      <c r="H68" s="1">
        <v>45721.938888888886</v>
      </c>
      <c r="I68" t="str">
        <f>"0588145"</f>
        <v>0588145</v>
      </c>
      <c r="J68">
        <v>3166</v>
      </c>
      <c r="K68" t="str">
        <f>"0129"</f>
        <v>0129</v>
      </c>
      <c r="L68">
        <v>1</v>
      </c>
      <c r="M68" t="s">
        <v>24</v>
      </c>
      <c r="N68" t="s">
        <v>61</v>
      </c>
      <c r="Q68" t="s">
        <v>33</v>
      </c>
      <c r="R68" t="s">
        <v>27</v>
      </c>
      <c r="T68">
        <v>49149461</v>
      </c>
      <c r="U68">
        <v>86001491</v>
      </c>
      <c r="V68">
        <v>127669</v>
      </c>
    </row>
    <row r="69" spans="1:22" x14ac:dyDescent="0.2">
      <c r="A69">
        <v>327863031</v>
      </c>
      <c r="B69" t="s">
        <v>62</v>
      </c>
      <c r="F69">
        <v>300</v>
      </c>
      <c r="G69" t="s">
        <v>23</v>
      </c>
      <c r="H69" s="1">
        <v>45721.938888888886</v>
      </c>
      <c r="I69" t="str">
        <f>"0586982"</f>
        <v>0586982</v>
      </c>
      <c r="J69">
        <v>2762</v>
      </c>
      <c r="K69" t="str">
        <f>"0830"</f>
        <v>0830</v>
      </c>
      <c r="L69">
        <v>1</v>
      </c>
      <c r="M69" t="s">
        <v>24</v>
      </c>
      <c r="N69" t="s">
        <v>62</v>
      </c>
      <c r="Q69" t="s">
        <v>33</v>
      </c>
      <c r="R69" t="s">
        <v>27</v>
      </c>
      <c r="T69">
        <v>49149455</v>
      </c>
      <c r="U69">
        <v>86001490</v>
      </c>
      <c r="V69">
        <v>127668</v>
      </c>
    </row>
    <row r="70" spans="1:22" x14ac:dyDescent="0.2">
      <c r="B70" t="s">
        <v>49</v>
      </c>
      <c r="E70" t="s">
        <v>56</v>
      </c>
      <c r="F70">
        <v>100</v>
      </c>
      <c r="G70" t="s">
        <v>23</v>
      </c>
      <c r="H70" s="1">
        <v>45721.939583333333</v>
      </c>
      <c r="I70">
        <v>2756823</v>
      </c>
      <c r="J70">
        <v>9383</v>
      </c>
      <c r="K70" t="str">
        <f>"0630"</f>
        <v>0630</v>
      </c>
      <c r="L70">
        <v>1</v>
      </c>
      <c r="M70" t="s">
        <v>24</v>
      </c>
      <c r="N70" t="s">
        <v>50</v>
      </c>
      <c r="Q70" t="s">
        <v>33</v>
      </c>
      <c r="R70" t="s">
        <v>27</v>
      </c>
      <c r="T70">
        <v>49149486</v>
      </c>
      <c r="U70">
        <v>86001492</v>
      </c>
      <c r="V70">
        <v>127670</v>
      </c>
    </row>
    <row r="71" spans="1:22" x14ac:dyDescent="0.2">
      <c r="B71" t="s">
        <v>49</v>
      </c>
      <c r="F71">
        <v>50</v>
      </c>
      <c r="G71" t="s">
        <v>23</v>
      </c>
      <c r="H71" s="1">
        <v>45721.94027777778</v>
      </c>
      <c r="I71">
        <v>2760233</v>
      </c>
      <c r="J71">
        <v>9383</v>
      </c>
      <c r="K71" t="str">
        <f>"0630"</f>
        <v>0630</v>
      </c>
      <c r="L71">
        <v>1</v>
      </c>
      <c r="M71" t="s">
        <v>24</v>
      </c>
      <c r="N71" t="s">
        <v>50</v>
      </c>
      <c r="Q71" t="s">
        <v>33</v>
      </c>
      <c r="R71" t="s">
        <v>27</v>
      </c>
      <c r="T71">
        <v>49149552</v>
      </c>
      <c r="U71">
        <v>86001494</v>
      </c>
      <c r="V71">
        <v>127672</v>
      </c>
    </row>
    <row r="72" spans="1:22" x14ac:dyDescent="0.2">
      <c r="A72" t="str">
        <f>"015800659"</f>
        <v>015800659</v>
      </c>
      <c r="B72" t="s">
        <v>51</v>
      </c>
      <c r="C72" t="s">
        <v>52</v>
      </c>
      <c r="D72" t="s">
        <v>53</v>
      </c>
      <c r="E72" t="s">
        <v>54</v>
      </c>
      <c r="F72">
        <v>100</v>
      </c>
      <c r="G72" t="s">
        <v>23</v>
      </c>
      <c r="H72" s="1">
        <v>45721.94027777778</v>
      </c>
      <c r="I72" t="str">
        <f>"0609255"</f>
        <v>0609255</v>
      </c>
      <c r="J72">
        <v>9071</v>
      </c>
      <c r="K72">
        <v>1130</v>
      </c>
      <c r="L72">
        <v>1</v>
      </c>
      <c r="M72" t="s">
        <v>24</v>
      </c>
      <c r="N72" t="s">
        <v>55</v>
      </c>
      <c r="Q72" t="s">
        <v>33</v>
      </c>
      <c r="R72" t="s">
        <v>27</v>
      </c>
      <c r="T72">
        <v>49149540</v>
      </c>
      <c r="U72">
        <v>86001493</v>
      </c>
      <c r="V72">
        <v>127671</v>
      </c>
    </row>
    <row r="73" spans="1:22" x14ac:dyDescent="0.2">
      <c r="A73" t="str">
        <f>"025750290"</f>
        <v>025750290</v>
      </c>
      <c r="B73" t="s">
        <v>44</v>
      </c>
      <c r="C73" t="s">
        <v>45</v>
      </c>
      <c r="D73" t="s">
        <v>46</v>
      </c>
      <c r="E73" t="s">
        <v>47</v>
      </c>
      <c r="F73">
        <v>1000</v>
      </c>
      <c r="G73" t="s">
        <v>23</v>
      </c>
      <c r="H73" s="1">
        <v>45721.941666666666</v>
      </c>
      <c r="I73" t="str">
        <f>"0635987"</f>
        <v>0635987</v>
      </c>
      <c r="J73">
        <v>6183</v>
      </c>
      <c r="K73" t="str">
        <f>"0229"</f>
        <v>0229</v>
      </c>
      <c r="L73">
        <v>1</v>
      </c>
      <c r="M73" t="s">
        <v>24</v>
      </c>
      <c r="N73" t="s">
        <v>48</v>
      </c>
      <c r="Q73" t="s">
        <v>33</v>
      </c>
      <c r="R73" t="s">
        <v>27</v>
      </c>
      <c r="T73">
        <v>49149626</v>
      </c>
      <c r="U73">
        <v>86001495</v>
      </c>
      <c r="V73">
        <v>127673</v>
      </c>
    </row>
    <row r="74" spans="1:22" x14ac:dyDescent="0.2">
      <c r="A74">
        <v>329145262</v>
      </c>
      <c r="B74" t="s">
        <v>39</v>
      </c>
      <c r="C74" t="s">
        <v>40</v>
      </c>
      <c r="D74" t="s">
        <v>41</v>
      </c>
      <c r="E74" t="s">
        <v>42</v>
      </c>
      <c r="F74">
        <v>50</v>
      </c>
      <c r="G74" t="s">
        <v>23</v>
      </c>
      <c r="H74" s="1">
        <v>45721.942361111112</v>
      </c>
      <c r="I74">
        <v>70733</v>
      </c>
      <c r="J74">
        <v>8084</v>
      </c>
      <c r="K74" t="str">
        <f>"0230"</f>
        <v>0230</v>
      </c>
      <c r="L74">
        <v>1</v>
      </c>
      <c r="M74" t="s">
        <v>24</v>
      </c>
      <c r="N74" t="s">
        <v>43</v>
      </c>
      <c r="Q74" t="s">
        <v>33</v>
      </c>
      <c r="R74" t="s">
        <v>27</v>
      </c>
      <c r="T74">
        <v>49149647</v>
      </c>
      <c r="U74">
        <v>86001496</v>
      </c>
      <c r="V74">
        <v>127674</v>
      </c>
    </row>
    <row r="75" spans="1:22" x14ac:dyDescent="0.2">
      <c r="A75">
        <v>317931541</v>
      </c>
      <c r="B75" t="s">
        <v>34</v>
      </c>
      <c r="C75" t="s">
        <v>35</v>
      </c>
      <c r="D75" t="s">
        <v>36</v>
      </c>
      <c r="E75" t="s">
        <v>37</v>
      </c>
      <c r="F75">
        <v>200</v>
      </c>
      <c r="G75" t="s">
        <v>23</v>
      </c>
      <c r="H75" s="1">
        <v>45721.943055555559</v>
      </c>
      <c r="I75" t="str">
        <f>"0659169"</f>
        <v>0659169</v>
      </c>
      <c r="J75">
        <v>2441</v>
      </c>
      <c r="K75" t="str">
        <f>"0126"</f>
        <v>0126</v>
      </c>
      <c r="L75">
        <v>1</v>
      </c>
      <c r="M75" t="s">
        <v>24</v>
      </c>
      <c r="N75" t="s">
        <v>38</v>
      </c>
      <c r="Q75" t="s">
        <v>33</v>
      </c>
      <c r="R75" t="s">
        <v>27</v>
      </c>
      <c r="T75">
        <v>49149695</v>
      </c>
      <c r="U75">
        <v>86001497</v>
      </c>
      <c r="V75">
        <v>127675</v>
      </c>
    </row>
    <row r="76" spans="1:22" x14ac:dyDescent="0.2">
      <c r="A76" t="str">
        <f>"053402350"</f>
        <v>053402350</v>
      </c>
      <c r="B76" t="s">
        <v>28</v>
      </c>
      <c r="C76" t="s">
        <v>29</v>
      </c>
      <c r="D76" t="s">
        <v>30</v>
      </c>
      <c r="E76" t="s">
        <v>31</v>
      </c>
      <c r="F76">
        <v>100</v>
      </c>
      <c r="G76" t="s">
        <v>23</v>
      </c>
      <c r="H76" s="1">
        <v>45721.943749999999</v>
      </c>
      <c r="I76">
        <v>72680</v>
      </c>
      <c r="J76">
        <v>3123</v>
      </c>
      <c r="K76" t="str">
        <f>"0126"</f>
        <v>0126</v>
      </c>
      <c r="L76">
        <v>1</v>
      </c>
      <c r="M76" t="s">
        <v>24</v>
      </c>
      <c r="N76" t="s">
        <v>32</v>
      </c>
      <c r="Q76" t="s">
        <v>33</v>
      </c>
      <c r="R76" t="s">
        <v>27</v>
      </c>
      <c r="T76">
        <v>49149730</v>
      </c>
      <c r="U76">
        <v>86001498</v>
      </c>
      <c r="V76">
        <v>127676</v>
      </c>
    </row>
    <row r="77" spans="1:22" x14ac:dyDescent="0.2">
      <c r="A77">
        <v>328608054</v>
      </c>
      <c r="B77" t="s">
        <v>22</v>
      </c>
      <c r="F77">
        <v>100</v>
      </c>
      <c r="G77" t="s">
        <v>23</v>
      </c>
      <c r="H77" s="1">
        <v>45721.945138888892</v>
      </c>
      <c r="I77">
        <v>2777332</v>
      </c>
      <c r="J77" t="str">
        <f>"0074"</f>
        <v>0074</v>
      </c>
      <c r="K77" t="str">
        <f>"0226"</f>
        <v>0226</v>
      </c>
      <c r="L77">
        <v>1</v>
      </c>
      <c r="M77" t="s">
        <v>24</v>
      </c>
      <c r="N77" t="s">
        <v>25</v>
      </c>
      <c r="Q77" t="s">
        <v>26</v>
      </c>
      <c r="R77" t="s">
        <v>27</v>
      </c>
      <c r="T77">
        <v>49149802</v>
      </c>
      <c r="U77">
        <v>86001500</v>
      </c>
      <c r="V77">
        <v>127678</v>
      </c>
    </row>
  </sheetData>
  <autoFilter ref="A1:V77">
    <sortState ref="A2:V77">
      <sortCondition ref="H1:H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2025-03-05T20:46:46Z</dcterms:created>
  <dcterms:modified xsi:type="dcterms:W3CDTF">2025-03-05T20:47:19Z</dcterms:modified>
</cp:coreProperties>
</file>