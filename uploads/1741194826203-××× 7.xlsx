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tshi_k\Desktop\"/>
    </mc:Choice>
  </mc:AlternateContent>
  <xr:revisionPtr revIDLastSave="0" documentId="8_{6D459E86-27F4-4DB9-80A2-B8FF8CEE9180}" xr6:coauthVersionLast="36" xr6:coauthVersionMax="36" xr10:uidLastSave="{00000000-0000-0000-0000-000000000000}"/>
  <bookViews>
    <workbookView xWindow="0" yWindow="0" windowWidth="28800" windowHeight="12255"/>
  </bookViews>
  <sheets>
    <sheet name="ExportHistory_01.03.25_05.03.25" sheetId="1" r:id="rId1"/>
  </sheets>
  <definedNames>
    <definedName name="_xlnm._FilterDatabase" localSheetId="0" hidden="1">ExportHistory_01.03.25_05.03.25!$A$1:$V$46</definedName>
  </definedNames>
  <calcPr calcId="0"/>
</workbook>
</file>

<file path=xl/calcChain.xml><?xml version="1.0" encoding="utf-8"?>
<calcChain xmlns="http://schemas.openxmlformats.org/spreadsheetml/2006/main">
  <c r="A46" i="1" l="1"/>
  <c r="K46" i="1"/>
  <c r="A44" i="1"/>
  <c r="K44" i="1"/>
  <c r="I42" i="1"/>
  <c r="K42" i="1"/>
  <c r="A40" i="1"/>
  <c r="K40" i="1"/>
  <c r="K38" i="1"/>
  <c r="I39" i="1"/>
  <c r="K39" i="1"/>
  <c r="A35" i="1"/>
  <c r="K35" i="1"/>
  <c r="I34" i="1"/>
  <c r="K34" i="1"/>
  <c r="I32" i="1"/>
  <c r="K32" i="1"/>
  <c r="K29" i="1"/>
  <c r="A30" i="1"/>
  <c r="K30" i="1"/>
  <c r="A27" i="1"/>
  <c r="K27" i="1"/>
  <c r="I25" i="1"/>
  <c r="J25" i="1"/>
  <c r="K25" i="1"/>
  <c r="I26" i="1"/>
  <c r="A24" i="1"/>
  <c r="K24" i="1"/>
  <c r="I22" i="1"/>
  <c r="K22" i="1"/>
  <c r="A23" i="1"/>
  <c r="K23" i="1"/>
  <c r="K21" i="1"/>
  <c r="I19" i="1"/>
  <c r="K19" i="1"/>
  <c r="A20" i="1"/>
  <c r="J20" i="1"/>
  <c r="K20" i="1"/>
  <c r="K18" i="1"/>
  <c r="K17" i="1"/>
  <c r="A16" i="1"/>
  <c r="K16" i="1"/>
  <c r="A15" i="1"/>
  <c r="I14" i="1"/>
  <c r="K14" i="1"/>
  <c r="I11" i="1"/>
  <c r="I12" i="1"/>
  <c r="J13" i="1"/>
  <c r="K13" i="1"/>
  <c r="A10" i="1"/>
  <c r="K10" i="1"/>
  <c r="I9" i="1"/>
  <c r="J8" i="1"/>
  <c r="K8" i="1"/>
  <c r="I7" i="1"/>
  <c r="I4" i="1"/>
  <c r="K5" i="1"/>
  <c r="K2" i="1"/>
  <c r="K3" i="1"/>
</calcChain>
</file>

<file path=xl/sharedStrings.xml><?xml version="1.0" encoding="utf-8"?>
<sst xmlns="http://schemas.openxmlformats.org/spreadsheetml/2006/main" count="363" uniqueCount="190">
  <si>
    <t>מספר זהות</t>
  </si>
  <si>
    <t>שם</t>
  </si>
  <si>
    <t>כתובת</t>
  </si>
  <si>
    <t>טלפון</t>
  </si>
  <si>
    <t>מייל</t>
  </si>
  <si>
    <t>סכום</t>
  </si>
  <si>
    <t>מטבע</t>
  </si>
  <si>
    <t>תאריך עסקה</t>
  </si>
  <si>
    <t>מספר אישור</t>
  </si>
  <si>
    <t>4 ספרות אחרונות</t>
  </si>
  <si>
    <t>תוקף</t>
  </si>
  <si>
    <t>תשלומים</t>
  </si>
  <si>
    <t>קטגוריה</t>
  </si>
  <si>
    <t>הערות</t>
  </si>
  <si>
    <t>שם מסוף</t>
  </si>
  <si>
    <t>מספר מסוף</t>
  </si>
  <si>
    <t>מותג</t>
  </si>
  <si>
    <t>חברה סולקת</t>
  </si>
  <si>
    <t>מספר הו"ק</t>
  </si>
  <si>
    <t>מספר עסקה</t>
  </si>
  <si>
    <t>מספר שובר</t>
  </si>
  <si>
    <t>מספר קבלה</t>
  </si>
  <si>
    <t>סילביה מיטלברג</t>
  </si>
  <si>
    <t>rivka2155@gmail.com</t>
  </si>
  <si>
    <t>שקל</t>
  </si>
  <si>
    <t>קמפיין הכנסת כלה תשפ"ה</t>
  </si>
  <si>
    <t>רבקה חליבה</t>
  </si>
  <si>
    <t>מסטרכרד</t>
  </si>
  <si>
    <t>ישראכרט</t>
  </si>
  <si>
    <t>ברוריה פרג'ון</t>
  </si>
  <si>
    <t>סורצקין 7 בני ברק</t>
  </si>
  <si>
    <t>054-8405306</t>
  </si>
  <si>
    <t>r0548405307@gmail.com</t>
  </si>
  <si>
    <t>נעמי רוט האלופה</t>
  </si>
  <si>
    <t>ויזה</t>
  </si>
  <si>
    <t>ציפורה גרוען</t>
  </si>
  <si>
    <t>כף החיים ביתר עילית</t>
  </si>
  <si>
    <t>052-7629722</t>
  </si>
  <si>
    <t>tziporag613@gmail.com</t>
  </si>
  <si>
    <t>חנה מרמלשטיין דירה 8</t>
  </si>
  <si>
    <t>איתן יפת</t>
  </si>
  <si>
    <t>הדס אמיר</t>
  </si>
  <si>
    <t>לאה קליין</t>
  </si>
  <si>
    <t>איילת רונן</t>
  </si>
  <si>
    <t>שרה וובר</t>
  </si>
  <si>
    <t>נועה איינשטיין</t>
  </si>
  <si>
    <t>הודיה דוכן</t>
  </si>
  <si>
    <t>יעלי דוכן</t>
  </si>
  <si>
    <t>רבקה וויליג</t>
  </si>
  <si>
    <t>רחלי וויליג</t>
  </si>
  <si>
    <t>סרינה קרטן</t>
  </si>
  <si>
    <t>תהילה שטרייכער</t>
  </si>
  <si>
    <t>חנה מאיר</t>
  </si>
  <si>
    <t>עליזה אזגורי</t>
  </si>
  <si>
    <t>רחל פרנצלאו</t>
  </si>
  <si>
    <t>בית שמש</t>
  </si>
  <si>
    <t>מרימי מונסונגו</t>
  </si>
  <si>
    <t>דינה טובה חיים</t>
  </si>
  <si>
    <t>יהלי חן</t>
  </si>
  <si>
    <t>נתן טויטו</t>
  </si>
  <si>
    <t>שילת שרביט</t>
  </si>
  <si>
    <t>אסתר מרגוליס</t>
  </si>
  <si>
    <t>לאה פרל</t>
  </si>
  <si>
    <t>leaperl613@gmail.com</t>
  </si>
  <si>
    <t>פנינה רייך מדשאה</t>
  </si>
  <si>
    <t>אילה אופנר</t>
  </si>
  <si>
    <t>מרים קשאני</t>
  </si>
  <si>
    <t>משה כהן</t>
  </si>
  <si>
    <t>ברוריה כהן</t>
  </si>
  <si>
    <t>לירון כהן</t>
  </si>
  <si>
    <t>העוז 5 קדומים</t>
  </si>
  <si>
    <t>052-5442757</t>
  </si>
  <si>
    <t>lironcohen789@gmail.com</t>
  </si>
  <si>
    <t xml:space="preserve">אורה עברון </t>
  </si>
  <si>
    <t>ויספיש שלמה</t>
  </si>
  <si>
    <t>אבא אחימאיר 8 ירושלים</t>
  </si>
  <si>
    <t>054-8454852</t>
  </si>
  <si>
    <t>shlomoweisfish@gmail.com</t>
  </si>
  <si>
    <t>יהודית צאלים האלופה    . ..     דירת הוילה</t>
  </si>
  <si>
    <t>בית הכנסת המרכזי זכרון שלמה נווה יעקב ירושלים</t>
  </si>
  <si>
    <t>אברהם אייזנבך</t>
  </si>
  <si>
    <t>ברכה אייזנבך</t>
  </si>
  <si>
    <t>אריאלה צדוק</t>
  </si>
  <si>
    <t>נחל לכיש 13 בית</t>
  </si>
  <si>
    <t>058-3252867</t>
  </si>
  <si>
    <t>ariellaz247@gmail.com</t>
  </si>
  <si>
    <t>דירה 2</t>
  </si>
  <si>
    <t>יונית גלינסקי</t>
  </si>
  <si>
    <t>אהרן יצחק שטרן</t>
  </si>
  <si>
    <t>הרב קובלסקי 28, קומה 3 דירה 7 בני ברק</t>
  </si>
  <si>
    <t>053-7790699</t>
  </si>
  <si>
    <t>ayshtern@gmail.com</t>
  </si>
  <si>
    <t>מטי יוליס</t>
  </si>
  <si>
    <t xml:space="preserve">אריה טלר </t>
  </si>
  <si>
    <t>כף החיים 25 ביתר עלית</t>
  </si>
  <si>
    <t>058-4062848</t>
  </si>
  <si>
    <t>aryeh.ttt.mm@gmail.com</t>
  </si>
  <si>
    <t xml:space="preserve">פעשי טלר </t>
  </si>
  <si>
    <t>xx</t>
  </si>
  <si>
    <t>ציפורה ערעראט</t>
  </si>
  <si>
    <t>אבישג אדלר</t>
  </si>
  <si>
    <t>מנחת שלמה 11 פתח תקווה</t>
  </si>
  <si>
    <t>054-8562215</t>
  </si>
  <si>
    <t>shagiadler@gmail.com</t>
  </si>
  <si>
    <t>תמר לוי</t>
  </si>
  <si>
    <t>Malachi Hanavi 2b Beit Shemesh</t>
  </si>
  <si>
    <t>tamarylevy@gmail.com</t>
  </si>
  <si>
    <t>1 מתוך 5</t>
  </si>
  <si>
    <t>ציונה לוי דירה 5</t>
  </si>
  <si>
    <t>מדר נתנאל</t>
  </si>
  <si>
    <t>ההגנה אופקים</t>
  </si>
  <si>
    <t>052-7178035</t>
  </si>
  <si>
    <t>יפה יוסלסון</t>
  </si>
  <si>
    <t>גולדברג  אילה</t>
  </si>
  <si>
    <t>ישעיהו 8  אופקים</t>
  </si>
  <si>
    <t>050-4158871</t>
  </si>
  <si>
    <t>gold58871@gmail.com</t>
  </si>
  <si>
    <t>מנקאף יעל</t>
  </si>
  <si>
    <t>רחוב הרב אליהו לופיאן 19 ירושלים</t>
  </si>
  <si>
    <t>058-7924353</t>
  </si>
  <si>
    <t>yael.mankoff@gmail.com</t>
  </si>
  <si>
    <t>דולר</t>
  </si>
  <si>
    <t>זה בא משושנה שפירא</t>
  </si>
  <si>
    <t>רחל גרינבוים</t>
  </si>
  <si>
    <t xml:space="preserve">יהלום 5 פתח תקווה </t>
  </si>
  <si>
    <t>050-7842811</t>
  </si>
  <si>
    <t>racheligr4@gmail.com</t>
  </si>
  <si>
    <t>ל גולדי פרל</t>
  </si>
  <si>
    <t xml:space="preserve">איריס תירוש </t>
  </si>
  <si>
    <t xml:space="preserve">רבן יוחנן בן זכאי 83 אלעד </t>
  </si>
  <si>
    <t>054-8473339</t>
  </si>
  <si>
    <t>iris.tirosh@gmail.com</t>
  </si>
  <si>
    <t>מתרימה שרה סיטרוק</t>
  </si>
  <si>
    <t>קרביץ דבורה</t>
  </si>
  <si>
    <t>נחל רפאים 29/10 בית שמש</t>
  </si>
  <si>
    <t>054-8598870</t>
  </si>
  <si>
    <t>skmk8870@gmail.com</t>
  </si>
  <si>
    <t>שושנה קרביץ</t>
  </si>
  <si>
    <t>ישי רונן</t>
  </si>
  <si>
    <t>עבור איילת רונן</t>
  </si>
  <si>
    <t>העברה בקליק</t>
  </si>
  <si>
    <t>תמר רוט</t>
  </si>
  <si>
    <t>אברהם בן דוד 17 בני ברק</t>
  </si>
  <si>
    <t>050-4113297</t>
  </si>
  <si>
    <t>0504113297t@gmail.com</t>
  </si>
  <si>
    <t>לנעמי אחותי החמודה תמשיכי להצליח!! ובעז"ה תגיעי ליעד</t>
  </si>
  <si>
    <t>פדר סיליה</t>
  </si>
  <si>
    <t>נחל זויתן 4/3 רמת בית שמש</t>
  </si>
  <si>
    <t>052-5267402</t>
  </si>
  <si>
    <t>celia@jayfeder.com</t>
  </si>
  <si>
    <t>סלומי תמר</t>
  </si>
  <si>
    <t>אברהם עמרני 8 ראש העין</t>
  </si>
  <si>
    <t>052-2552615</t>
  </si>
  <si>
    <t>אביה סלומי</t>
  </si>
  <si>
    <t>שולמית ביסמוט</t>
  </si>
  <si>
    <t>קלינמן 7 ירושלים</t>
  </si>
  <si>
    <t>058-3214982</t>
  </si>
  <si>
    <t>ts0583214982@gmail.com</t>
  </si>
  <si>
    <t xml:space="preserve">ציפורה חביב </t>
  </si>
  <si>
    <t xml:space="preserve">חננאל תורגמן </t>
  </si>
  <si>
    <t>נחל המעיינות, 8 נווה דניאל</t>
  </si>
  <si>
    <t>054-3394769</t>
  </si>
  <si>
    <t>hananelt@gmail.com</t>
  </si>
  <si>
    <t>אורה עברון</t>
  </si>
  <si>
    <t>מנוחה פיש</t>
  </si>
  <si>
    <t>menuchachana1@gmail.com</t>
  </si>
  <si>
    <t>לילה שטרייכר</t>
  </si>
  <si>
    <t>מן אלי</t>
  </si>
  <si>
    <t>גורדון קרית יערים</t>
  </si>
  <si>
    <t>058-4004490</t>
  </si>
  <si>
    <t>eliman107@gmail.com</t>
  </si>
  <si>
    <t>אסתי מן המהממת מדירה 4</t>
  </si>
  <si>
    <t>לאה פלדמן</t>
  </si>
  <si>
    <t>שי עגנון 14 אשקלון</t>
  </si>
  <si>
    <t>058-3225834</t>
  </si>
  <si>
    <t>l0583225834@gmail.com</t>
  </si>
  <si>
    <t>ללי פלדמן דירה 9 התותכית!!!</t>
  </si>
  <si>
    <t>Devora Levy</t>
  </si>
  <si>
    <t>dlevycoaching@gmail.com</t>
  </si>
  <si>
    <t>Michal Jacobs</t>
  </si>
  <si>
    <t>שרה פורדשם</t>
  </si>
  <si>
    <t>מבוא פלים 72 ירושלים</t>
  </si>
  <si>
    <t>058-3296496</t>
  </si>
  <si>
    <t>sara@fordsham.com</t>
  </si>
  <si>
    <t>תהילה שטרייכער כל הכבוד!!! תזכי למצוות</t>
  </si>
  <si>
    <t>קרול מזרחי</t>
  </si>
  <si>
    <t>פנמה פנמה</t>
  </si>
  <si>
    <t>058-3243418</t>
  </si>
  <si>
    <t>carolofakim22@gmail.com</t>
  </si>
  <si>
    <t>שם המתרימה: אבישג חוברה, יאללה שוגה תעשי את שלך 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</si>
</sst>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6"/>
  <sheetViews>
    <sheetView rightToLeft="1" tabSelected="1" workbookViewId="0">
      <selection activeCell="A192" sqref="A2:XFD192"/>
    </sheetView>
  </sheetViews>
  <sheetFormatPr defaultRowHeight="14.25" x14ac:dyDescent="0.2"/>
  <cols>
    <col min="1" max="1" width="11.125" bestFit="1" customWidth="1"/>
    <col min="2" max="2" width="22.5" bestFit="1" customWidth="1"/>
    <col min="3" max="3" width="45.125" bestFit="1" customWidth="1"/>
    <col min="4" max="4" width="14" bestFit="1" customWidth="1"/>
    <col min="5" max="5" width="27.375" bestFit="1" customWidth="1"/>
    <col min="6" max="6" width="6.375" bestFit="1" customWidth="1"/>
    <col min="7" max="7" width="7.125" bestFit="1" customWidth="1"/>
    <col min="8" max="8" width="15" bestFit="1" customWidth="1"/>
    <col min="9" max="9" width="11.625" bestFit="1" customWidth="1"/>
    <col min="10" max="10" width="15.5" bestFit="1" customWidth="1"/>
    <col min="11" max="11" width="6.625" bestFit="1" customWidth="1"/>
    <col min="12" max="12" width="9.25" bestFit="1" customWidth="1"/>
    <col min="13" max="13" width="20" bestFit="1" customWidth="1"/>
    <col min="14" max="14" width="48.75" bestFit="1" customWidth="1"/>
    <col min="15" max="15" width="37" bestFit="1" customWidth="1"/>
    <col min="16" max="16" width="11.375" bestFit="1" customWidth="1"/>
    <col min="17" max="17" width="12.5" bestFit="1" customWidth="1"/>
    <col min="18" max="18" width="12.25" bestFit="1" customWidth="1"/>
    <col min="19" max="19" width="10.75" bestFit="1" customWidth="1"/>
    <col min="20" max="20" width="11.875" bestFit="1" customWidth="1"/>
    <col min="21" max="21" width="11.25" bestFit="1" customWidth="1"/>
    <col min="22" max="22" width="11.6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335412672</v>
      </c>
      <c r="B2" t="s">
        <v>180</v>
      </c>
      <c r="C2" t="s">
        <v>181</v>
      </c>
      <c r="D2" t="s">
        <v>182</v>
      </c>
      <c r="E2" t="s">
        <v>183</v>
      </c>
      <c r="F2">
        <v>100</v>
      </c>
      <c r="G2" t="s">
        <v>24</v>
      </c>
      <c r="H2" s="1">
        <v>45721.750694444447</v>
      </c>
      <c r="I2">
        <v>32116</v>
      </c>
      <c r="J2">
        <v>8542</v>
      </c>
      <c r="K2" t="str">
        <f>"0926"</f>
        <v>0926</v>
      </c>
      <c r="L2">
        <v>1</v>
      </c>
      <c r="M2" t="s">
        <v>25</v>
      </c>
      <c r="N2" t="s">
        <v>184</v>
      </c>
      <c r="Q2" t="s">
        <v>34</v>
      </c>
      <c r="R2" t="s">
        <v>28</v>
      </c>
      <c r="T2">
        <v>49138070</v>
      </c>
      <c r="U2">
        <v>86001185</v>
      </c>
      <c r="V2">
        <v>127355</v>
      </c>
    </row>
    <row r="3" spans="1:22" x14ac:dyDescent="0.2">
      <c r="A3">
        <v>170358905</v>
      </c>
      <c r="B3" t="s">
        <v>185</v>
      </c>
      <c r="C3" t="s">
        <v>186</v>
      </c>
      <c r="D3" t="s">
        <v>187</v>
      </c>
      <c r="E3" t="s">
        <v>188</v>
      </c>
      <c r="F3">
        <v>66</v>
      </c>
      <c r="G3" t="s">
        <v>121</v>
      </c>
      <c r="H3" s="1">
        <v>45721.750694444447</v>
      </c>
      <c r="I3">
        <v>485563</v>
      </c>
      <c r="J3">
        <v>9610</v>
      </c>
      <c r="K3" t="str">
        <f>"0427"</f>
        <v>0427</v>
      </c>
      <c r="L3">
        <v>1</v>
      </c>
      <c r="M3" t="s">
        <v>25</v>
      </c>
      <c r="N3" t="s">
        <v>189</v>
      </c>
      <c r="Q3" t="s">
        <v>34</v>
      </c>
      <c r="R3" t="s">
        <v>28</v>
      </c>
      <c r="T3">
        <v>49138068</v>
      </c>
      <c r="U3">
        <v>86001184</v>
      </c>
      <c r="V3">
        <v>127354</v>
      </c>
    </row>
    <row r="4" spans="1:22" x14ac:dyDescent="0.2">
      <c r="A4">
        <v>329377436</v>
      </c>
      <c r="B4" t="s">
        <v>172</v>
      </c>
      <c r="C4" t="s">
        <v>173</v>
      </c>
      <c r="D4" t="s">
        <v>174</v>
      </c>
      <c r="E4" t="s">
        <v>175</v>
      </c>
      <c r="F4">
        <v>150</v>
      </c>
      <c r="G4" t="s">
        <v>24</v>
      </c>
      <c r="H4" s="1">
        <v>45721.751388888886</v>
      </c>
      <c r="I4" t="str">
        <f>"0000000"</f>
        <v>0000000</v>
      </c>
      <c r="J4">
        <v>9453</v>
      </c>
      <c r="L4">
        <v>1</v>
      </c>
      <c r="M4" t="s">
        <v>25</v>
      </c>
      <c r="N4" t="s">
        <v>176</v>
      </c>
      <c r="Q4" t="s">
        <v>140</v>
      </c>
      <c r="R4">
        <v>30</v>
      </c>
      <c r="T4">
        <v>49138116</v>
      </c>
      <c r="V4">
        <v>127357</v>
      </c>
    </row>
    <row r="5" spans="1:22" x14ac:dyDescent="0.2">
      <c r="B5" t="s">
        <v>177</v>
      </c>
      <c r="E5" t="s">
        <v>178</v>
      </c>
      <c r="F5">
        <v>100</v>
      </c>
      <c r="G5" t="s">
        <v>24</v>
      </c>
      <c r="H5" s="1">
        <v>45721.751388888886</v>
      </c>
      <c r="I5">
        <v>1393445</v>
      </c>
      <c r="J5">
        <v>5808</v>
      </c>
      <c r="K5" t="str">
        <f>"0530"</f>
        <v>0530</v>
      </c>
      <c r="L5">
        <v>1</v>
      </c>
      <c r="M5" t="s">
        <v>25</v>
      </c>
      <c r="N5" t="s">
        <v>179</v>
      </c>
      <c r="Q5" t="s">
        <v>27</v>
      </c>
      <c r="R5" t="s">
        <v>28</v>
      </c>
      <c r="T5">
        <v>49138090</v>
      </c>
      <c r="U5">
        <v>86001186</v>
      </c>
      <c r="V5">
        <v>127356</v>
      </c>
    </row>
    <row r="6" spans="1:22" x14ac:dyDescent="0.2">
      <c r="A6">
        <v>204284673</v>
      </c>
      <c r="B6" t="s">
        <v>167</v>
      </c>
      <c r="C6" t="s">
        <v>168</v>
      </c>
      <c r="D6" t="s">
        <v>169</v>
      </c>
      <c r="E6" t="s">
        <v>170</v>
      </c>
      <c r="F6">
        <v>200</v>
      </c>
      <c r="G6" t="s">
        <v>24</v>
      </c>
      <c r="H6" s="1">
        <v>45721.753472222219</v>
      </c>
      <c r="I6">
        <v>40030</v>
      </c>
      <c r="J6">
        <v>3249</v>
      </c>
      <c r="K6">
        <v>1226</v>
      </c>
      <c r="L6">
        <v>1</v>
      </c>
      <c r="M6" t="s">
        <v>25</v>
      </c>
      <c r="N6" t="s">
        <v>171</v>
      </c>
      <c r="Q6" t="s">
        <v>34</v>
      </c>
      <c r="R6" t="s">
        <v>28</v>
      </c>
      <c r="T6">
        <v>49138210</v>
      </c>
      <c r="U6">
        <v>86001187</v>
      </c>
      <c r="V6">
        <v>127358</v>
      </c>
    </row>
    <row r="7" spans="1:22" x14ac:dyDescent="0.2">
      <c r="B7" t="s">
        <v>164</v>
      </c>
      <c r="E7" t="s">
        <v>165</v>
      </c>
      <c r="F7">
        <v>50</v>
      </c>
      <c r="G7" t="s">
        <v>24</v>
      </c>
      <c r="H7" s="1">
        <v>45721.755555555559</v>
      </c>
      <c r="I7" t="str">
        <f>"0625772"</f>
        <v>0625772</v>
      </c>
      <c r="J7">
        <v>9579</v>
      </c>
      <c r="K7">
        <v>1230</v>
      </c>
      <c r="L7">
        <v>1</v>
      </c>
      <c r="M7" t="s">
        <v>25</v>
      </c>
      <c r="N7" t="s">
        <v>166</v>
      </c>
      <c r="Q7" t="s">
        <v>34</v>
      </c>
      <c r="R7" t="s">
        <v>28</v>
      </c>
      <c r="T7">
        <v>49138314</v>
      </c>
      <c r="U7">
        <v>86001188</v>
      </c>
      <c r="V7">
        <v>127359</v>
      </c>
    </row>
    <row r="8" spans="1:22" x14ac:dyDescent="0.2">
      <c r="A8">
        <v>311502652</v>
      </c>
      <c r="B8" t="s">
        <v>159</v>
      </c>
      <c r="C8" t="s">
        <v>160</v>
      </c>
      <c r="D8" t="s">
        <v>161</v>
      </c>
      <c r="E8" t="s">
        <v>162</v>
      </c>
      <c r="F8">
        <v>50</v>
      </c>
      <c r="G8" t="s">
        <v>24</v>
      </c>
      <c r="H8" s="1">
        <v>45721.756944444445</v>
      </c>
      <c r="I8">
        <v>1445176</v>
      </c>
      <c r="J8" t="str">
        <f>"0828"</f>
        <v>0828</v>
      </c>
      <c r="K8" t="str">
        <f>"0729"</f>
        <v>0729</v>
      </c>
      <c r="L8">
        <v>1</v>
      </c>
      <c r="M8" t="s">
        <v>25</v>
      </c>
      <c r="N8" t="s">
        <v>163</v>
      </c>
      <c r="Q8" t="s">
        <v>27</v>
      </c>
      <c r="R8" t="s">
        <v>28</v>
      </c>
      <c r="T8">
        <v>49138394</v>
      </c>
      <c r="U8">
        <v>86001189</v>
      </c>
      <c r="V8">
        <v>127360</v>
      </c>
    </row>
    <row r="9" spans="1:22" x14ac:dyDescent="0.2">
      <c r="A9">
        <v>336265947</v>
      </c>
      <c r="B9" t="s">
        <v>154</v>
      </c>
      <c r="C9" t="s">
        <v>155</v>
      </c>
      <c r="D9" t="s">
        <v>156</v>
      </c>
      <c r="E9" t="s">
        <v>157</v>
      </c>
      <c r="F9">
        <v>50</v>
      </c>
      <c r="G9" t="s">
        <v>24</v>
      </c>
      <c r="H9" s="1">
        <v>45721.757638888892</v>
      </c>
      <c r="I9" t="str">
        <f>"0729715"</f>
        <v>0729715</v>
      </c>
      <c r="J9">
        <v>3804</v>
      </c>
      <c r="K9">
        <v>1127</v>
      </c>
      <c r="L9">
        <v>1</v>
      </c>
      <c r="M9" t="s">
        <v>25</v>
      </c>
      <c r="N9" t="s">
        <v>158</v>
      </c>
      <c r="Q9" t="s">
        <v>34</v>
      </c>
      <c r="R9" t="s">
        <v>28</v>
      </c>
      <c r="T9">
        <v>49138455</v>
      </c>
      <c r="U9">
        <v>86001190</v>
      </c>
      <c r="V9">
        <v>127361</v>
      </c>
    </row>
    <row r="10" spans="1:22" x14ac:dyDescent="0.2">
      <c r="A10" t="str">
        <f>"054262217"</f>
        <v>054262217</v>
      </c>
      <c r="B10" t="s">
        <v>150</v>
      </c>
      <c r="C10" t="s">
        <v>151</v>
      </c>
      <c r="D10" t="s">
        <v>152</v>
      </c>
      <c r="F10">
        <v>100</v>
      </c>
      <c r="G10" t="s">
        <v>24</v>
      </c>
      <c r="H10" s="1">
        <v>45721.760416666664</v>
      </c>
      <c r="I10">
        <v>1480594</v>
      </c>
      <c r="J10">
        <v>5332</v>
      </c>
      <c r="K10" t="str">
        <f>"0729"</f>
        <v>0729</v>
      </c>
      <c r="L10">
        <v>1</v>
      </c>
      <c r="M10" t="s">
        <v>25</v>
      </c>
      <c r="N10" t="s">
        <v>153</v>
      </c>
      <c r="Q10" t="s">
        <v>27</v>
      </c>
      <c r="R10" t="s">
        <v>28</v>
      </c>
      <c r="T10">
        <v>49138580</v>
      </c>
      <c r="U10">
        <v>86001191</v>
      </c>
      <c r="V10">
        <v>127362</v>
      </c>
    </row>
    <row r="11" spans="1:22" x14ac:dyDescent="0.2">
      <c r="A11">
        <v>318715646</v>
      </c>
      <c r="B11" t="s">
        <v>138</v>
      </c>
      <c r="F11">
        <v>50</v>
      </c>
      <c r="G11" t="s">
        <v>24</v>
      </c>
      <c r="H11" s="1">
        <v>45721.761111111111</v>
      </c>
      <c r="I11" t="str">
        <f>"0000000"</f>
        <v>0000000</v>
      </c>
      <c r="J11">
        <v>5539</v>
      </c>
      <c r="L11">
        <v>1</v>
      </c>
      <c r="M11" t="s">
        <v>25</v>
      </c>
      <c r="N11" t="s">
        <v>139</v>
      </c>
      <c r="Q11" t="s">
        <v>140</v>
      </c>
      <c r="R11">
        <v>30</v>
      </c>
      <c r="T11">
        <v>49138623</v>
      </c>
      <c r="V11">
        <v>127365</v>
      </c>
    </row>
    <row r="12" spans="1:22" x14ac:dyDescent="0.2">
      <c r="A12">
        <v>325444099</v>
      </c>
      <c r="B12" t="s">
        <v>141</v>
      </c>
      <c r="C12" t="s">
        <v>142</v>
      </c>
      <c r="D12" t="s">
        <v>143</v>
      </c>
      <c r="E12" t="s">
        <v>144</v>
      </c>
      <c r="F12">
        <v>600</v>
      </c>
      <c r="G12" t="s">
        <v>24</v>
      </c>
      <c r="H12" s="1">
        <v>45721.761111111111</v>
      </c>
      <c r="I12" t="str">
        <f>"0000000"</f>
        <v>0000000</v>
      </c>
      <c r="J12">
        <v>5970</v>
      </c>
      <c r="L12">
        <v>1</v>
      </c>
      <c r="M12" t="s">
        <v>25</v>
      </c>
      <c r="N12" t="s">
        <v>145</v>
      </c>
      <c r="Q12" t="s">
        <v>140</v>
      </c>
      <c r="R12">
        <v>30</v>
      </c>
      <c r="T12">
        <v>49138621</v>
      </c>
      <c r="V12">
        <v>127364</v>
      </c>
    </row>
    <row r="13" spans="1:22" x14ac:dyDescent="0.2">
      <c r="A13">
        <v>332406073</v>
      </c>
      <c r="B13" t="s">
        <v>146</v>
      </c>
      <c r="C13" t="s">
        <v>147</v>
      </c>
      <c r="D13" t="s">
        <v>148</v>
      </c>
      <c r="E13" t="s">
        <v>149</v>
      </c>
      <c r="F13">
        <v>500</v>
      </c>
      <c r="G13" t="s">
        <v>24</v>
      </c>
      <c r="H13" s="1">
        <v>45721.761111111111</v>
      </c>
      <c r="I13">
        <v>63054</v>
      </c>
      <c r="J13" t="str">
        <f>"0325"</f>
        <v>0325</v>
      </c>
      <c r="K13" t="str">
        <f>"0627"</f>
        <v>0627</v>
      </c>
      <c r="L13">
        <v>1</v>
      </c>
      <c r="M13" t="s">
        <v>25</v>
      </c>
      <c r="Q13" t="s">
        <v>34</v>
      </c>
      <c r="R13" t="s">
        <v>28</v>
      </c>
      <c r="T13">
        <v>49138604</v>
      </c>
      <c r="U13">
        <v>86001192</v>
      </c>
      <c r="V13">
        <v>127363</v>
      </c>
    </row>
    <row r="14" spans="1:22" x14ac:dyDescent="0.2">
      <c r="A14">
        <v>324695220</v>
      </c>
      <c r="B14" t="s">
        <v>133</v>
      </c>
      <c r="C14" t="s">
        <v>134</v>
      </c>
      <c r="D14" t="s">
        <v>135</v>
      </c>
      <c r="E14" t="s">
        <v>136</v>
      </c>
      <c r="F14">
        <v>500</v>
      </c>
      <c r="G14" t="s">
        <v>24</v>
      </c>
      <c r="H14" s="1">
        <v>45721.763888888891</v>
      </c>
      <c r="I14" t="str">
        <f>"0994889"</f>
        <v>0994889</v>
      </c>
      <c r="J14">
        <v>2542</v>
      </c>
      <c r="K14" t="str">
        <f>"0528"</f>
        <v>0528</v>
      </c>
      <c r="L14">
        <v>1</v>
      </c>
      <c r="M14" t="s">
        <v>25</v>
      </c>
      <c r="N14" t="s">
        <v>137</v>
      </c>
      <c r="Q14" t="s">
        <v>34</v>
      </c>
      <c r="R14" t="s">
        <v>28</v>
      </c>
      <c r="T14">
        <v>49138753</v>
      </c>
      <c r="U14">
        <v>86001193</v>
      </c>
      <c r="V14">
        <v>127366</v>
      </c>
    </row>
    <row r="15" spans="1:22" x14ac:dyDescent="0.2">
      <c r="A15" t="str">
        <f>"022566335"</f>
        <v>022566335</v>
      </c>
      <c r="B15" t="s">
        <v>128</v>
      </c>
      <c r="C15" t="s">
        <v>129</v>
      </c>
      <c r="D15" t="s">
        <v>130</v>
      </c>
      <c r="E15" t="s">
        <v>131</v>
      </c>
      <c r="F15">
        <v>50</v>
      </c>
      <c r="G15" t="s">
        <v>24</v>
      </c>
      <c r="H15" s="1">
        <v>45721.765277777777</v>
      </c>
      <c r="I15">
        <v>1522526</v>
      </c>
      <c r="J15">
        <v>3879</v>
      </c>
      <c r="K15">
        <v>1029</v>
      </c>
      <c r="L15">
        <v>1</v>
      </c>
      <c r="M15" t="s">
        <v>25</v>
      </c>
      <c r="N15" t="s">
        <v>132</v>
      </c>
      <c r="Q15" t="s">
        <v>27</v>
      </c>
      <c r="R15" t="s">
        <v>28</v>
      </c>
      <c r="T15">
        <v>49138801</v>
      </c>
      <c r="U15">
        <v>86001194</v>
      </c>
      <c r="V15">
        <v>127367</v>
      </c>
    </row>
    <row r="16" spans="1:22" x14ac:dyDescent="0.2">
      <c r="A16" t="str">
        <f>"028754810"</f>
        <v>028754810</v>
      </c>
      <c r="B16" t="s">
        <v>123</v>
      </c>
      <c r="C16" t="s">
        <v>124</v>
      </c>
      <c r="D16" t="s">
        <v>125</v>
      </c>
      <c r="E16" t="s">
        <v>126</v>
      </c>
      <c r="F16">
        <v>200</v>
      </c>
      <c r="G16" t="s">
        <v>24</v>
      </c>
      <c r="H16" s="1">
        <v>45721.76666666667</v>
      </c>
      <c r="I16">
        <v>1537054</v>
      </c>
      <c r="J16">
        <v>8207</v>
      </c>
      <c r="K16" t="str">
        <f>"0827"</f>
        <v>0827</v>
      </c>
      <c r="L16">
        <v>1</v>
      </c>
      <c r="M16" t="s">
        <v>25</v>
      </c>
      <c r="N16" t="s">
        <v>127</v>
      </c>
      <c r="Q16" t="s">
        <v>27</v>
      </c>
      <c r="R16" t="s">
        <v>28</v>
      </c>
      <c r="T16">
        <v>49138859</v>
      </c>
      <c r="U16">
        <v>86001195</v>
      </c>
      <c r="V16">
        <v>127368</v>
      </c>
    </row>
    <row r="17" spans="1:22" x14ac:dyDescent="0.2">
      <c r="A17">
        <v>546262966</v>
      </c>
      <c r="B17" t="s">
        <v>117</v>
      </c>
      <c r="C17" t="s">
        <v>118</v>
      </c>
      <c r="D17" t="s">
        <v>119</v>
      </c>
      <c r="E17" t="s">
        <v>120</v>
      </c>
      <c r="F17">
        <v>50</v>
      </c>
      <c r="G17" t="s">
        <v>121</v>
      </c>
      <c r="H17" s="1">
        <v>45721.768750000003</v>
      </c>
      <c r="I17">
        <v>2746</v>
      </c>
      <c r="J17">
        <v>6793</v>
      </c>
      <c r="K17" t="str">
        <f>"0928"</f>
        <v>0928</v>
      </c>
      <c r="L17">
        <v>1</v>
      </c>
      <c r="M17" t="s">
        <v>25</v>
      </c>
      <c r="N17" t="s">
        <v>122</v>
      </c>
      <c r="Q17" t="s">
        <v>27</v>
      </c>
      <c r="R17" t="s">
        <v>28</v>
      </c>
      <c r="T17">
        <v>49138985</v>
      </c>
      <c r="U17">
        <v>86001196</v>
      </c>
      <c r="V17">
        <v>127369</v>
      </c>
    </row>
    <row r="18" spans="1:22" x14ac:dyDescent="0.2">
      <c r="A18">
        <v>305408080</v>
      </c>
      <c r="B18" t="s">
        <v>113</v>
      </c>
      <c r="C18" t="s">
        <v>114</v>
      </c>
      <c r="D18" t="s">
        <v>115</v>
      </c>
      <c r="E18" t="s">
        <v>116</v>
      </c>
      <c r="F18">
        <v>200</v>
      </c>
      <c r="G18" t="s">
        <v>24</v>
      </c>
      <c r="H18" s="1">
        <v>45721.770833333336</v>
      </c>
      <c r="I18">
        <v>93789</v>
      </c>
      <c r="J18">
        <v>3528</v>
      </c>
      <c r="K18" t="str">
        <f>"0227"</f>
        <v>0227</v>
      </c>
      <c r="L18">
        <v>1</v>
      </c>
      <c r="M18" t="s">
        <v>25</v>
      </c>
      <c r="Q18" t="s">
        <v>34</v>
      </c>
      <c r="R18" t="s">
        <v>28</v>
      </c>
      <c r="T18">
        <v>49139088</v>
      </c>
      <c r="U18">
        <v>86001197</v>
      </c>
      <c r="V18">
        <v>127370</v>
      </c>
    </row>
    <row r="19" spans="1:22" x14ac:dyDescent="0.2">
      <c r="A19">
        <v>209678713</v>
      </c>
      <c r="B19" t="s">
        <v>104</v>
      </c>
      <c r="C19" t="s">
        <v>105</v>
      </c>
      <c r="E19" t="s">
        <v>106</v>
      </c>
      <c r="F19">
        <v>50</v>
      </c>
      <c r="G19" t="s">
        <v>24</v>
      </c>
      <c r="H19" s="1">
        <v>45721.772916666669</v>
      </c>
      <c r="I19" t="str">
        <f>"0391219"</f>
        <v>0391219</v>
      </c>
      <c r="J19">
        <v>8164</v>
      </c>
      <c r="K19" t="str">
        <f>"0126"</f>
        <v>0126</v>
      </c>
      <c r="L19" t="s">
        <v>107</v>
      </c>
      <c r="M19" t="s">
        <v>25</v>
      </c>
      <c r="N19" t="s">
        <v>108</v>
      </c>
      <c r="Q19" t="s">
        <v>34</v>
      </c>
      <c r="R19" t="s">
        <v>28</v>
      </c>
      <c r="T19">
        <v>49139211</v>
      </c>
      <c r="U19">
        <v>86001199</v>
      </c>
      <c r="V19">
        <v>127372</v>
      </c>
    </row>
    <row r="20" spans="1:22" x14ac:dyDescent="0.2">
      <c r="A20" t="str">
        <f>"038009064"</f>
        <v>038009064</v>
      </c>
      <c r="B20" t="s">
        <v>109</v>
      </c>
      <c r="C20" t="s">
        <v>110</v>
      </c>
      <c r="D20" t="s">
        <v>111</v>
      </c>
      <c r="F20">
        <v>20</v>
      </c>
      <c r="G20" t="s">
        <v>24</v>
      </c>
      <c r="H20" s="1">
        <v>45721.772916666669</v>
      </c>
      <c r="I20">
        <v>1597046</v>
      </c>
      <c r="J20" t="str">
        <f>"0295"</f>
        <v>0295</v>
      </c>
      <c r="K20" t="str">
        <f>"0131"</f>
        <v>0131</v>
      </c>
      <c r="L20">
        <v>1</v>
      </c>
      <c r="M20" t="s">
        <v>25</v>
      </c>
      <c r="N20" t="s">
        <v>112</v>
      </c>
      <c r="Q20" t="s">
        <v>27</v>
      </c>
      <c r="R20" t="s">
        <v>28</v>
      </c>
      <c r="T20">
        <v>49139204</v>
      </c>
      <c r="U20">
        <v>86001198</v>
      </c>
      <c r="V20">
        <v>127371</v>
      </c>
    </row>
    <row r="21" spans="1:22" x14ac:dyDescent="0.2">
      <c r="A21">
        <v>324944917</v>
      </c>
      <c r="B21" t="s">
        <v>100</v>
      </c>
      <c r="C21" t="s">
        <v>101</v>
      </c>
      <c r="D21" t="s">
        <v>102</v>
      </c>
      <c r="E21" t="s">
        <v>103</v>
      </c>
      <c r="F21">
        <v>100</v>
      </c>
      <c r="G21" t="s">
        <v>24</v>
      </c>
      <c r="H21" s="1">
        <v>45721.775000000001</v>
      </c>
      <c r="I21">
        <v>1613496</v>
      </c>
      <c r="J21">
        <v>1371</v>
      </c>
      <c r="K21" t="str">
        <f>"0231"</f>
        <v>0231</v>
      </c>
      <c r="L21">
        <v>1</v>
      </c>
      <c r="M21" t="s">
        <v>25</v>
      </c>
      <c r="N21" t="s">
        <v>43</v>
      </c>
      <c r="Q21" t="s">
        <v>27</v>
      </c>
      <c r="R21" t="s">
        <v>28</v>
      </c>
      <c r="T21">
        <v>49139301</v>
      </c>
      <c r="U21">
        <v>86001200</v>
      </c>
      <c r="V21">
        <v>127373</v>
      </c>
    </row>
    <row r="22" spans="1:22" x14ac:dyDescent="0.2">
      <c r="A22">
        <v>211312707</v>
      </c>
      <c r="B22" t="s">
        <v>93</v>
      </c>
      <c r="C22" t="s">
        <v>94</v>
      </c>
      <c r="D22" t="s">
        <v>95</v>
      </c>
      <c r="E22" t="s">
        <v>96</v>
      </c>
      <c r="F22">
        <v>200</v>
      </c>
      <c r="G22" t="s">
        <v>24</v>
      </c>
      <c r="H22" s="1">
        <v>45721.775694444441</v>
      </c>
      <c r="I22" t="str">
        <f>"0509612"</f>
        <v>0509612</v>
      </c>
      <c r="J22">
        <v>2948</v>
      </c>
      <c r="K22" t="str">
        <f>"0130"</f>
        <v>0130</v>
      </c>
      <c r="L22">
        <v>1</v>
      </c>
      <c r="M22" t="s">
        <v>25</v>
      </c>
      <c r="N22" t="s">
        <v>97</v>
      </c>
      <c r="Q22" t="s">
        <v>34</v>
      </c>
      <c r="R22" t="s">
        <v>28</v>
      </c>
      <c r="T22">
        <v>49139372</v>
      </c>
      <c r="U22">
        <v>86001202</v>
      </c>
      <c r="V22">
        <v>127375</v>
      </c>
    </row>
    <row r="23" spans="1:22" x14ac:dyDescent="0.2">
      <c r="A23" t="str">
        <f>"039405667"</f>
        <v>039405667</v>
      </c>
      <c r="B23" t="s">
        <v>98</v>
      </c>
      <c r="F23">
        <v>10</v>
      </c>
      <c r="G23" t="s">
        <v>24</v>
      </c>
      <c r="H23" s="1">
        <v>45721.775694444441</v>
      </c>
      <c r="I23">
        <v>7117</v>
      </c>
      <c r="J23">
        <v>2322</v>
      </c>
      <c r="K23" t="str">
        <f>"0828"</f>
        <v>0828</v>
      </c>
      <c r="L23">
        <v>1</v>
      </c>
      <c r="M23" t="s">
        <v>25</v>
      </c>
      <c r="N23" t="s">
        <v>99</v>
      </c>
      <c r="Q23" t="s">
        <v>34</v>
      </c>
      <c r="R23" t="s">
        <v>28</v>
      </c>
      <c r="T23">
        <v>49139356</v>
      </c>
      <c r="U23">
        <v>86001201</v>
      </c>
      <c r="V23">
        <v>127374</v>
      </c>
    </row>
    <row r="24" spans="1:22" x14ac:dyDescent="0.2">
      <c r="A24" t="str">
        <f>"022280788"</f>
        <v>022280788</v>
      </c>
      <c r="B24" t="s">
        <v>88</v>
      </c>
      <c r="C24" t="s">
        <v>89</v>
      </c>
      <c r="D24" t="s">
        <v>90</v>
      </c>
      <c r="E24" t="s">
        <v>91</v>
      </c>
      <c r="F24">
        <v>100</v>
      </c>
      <c r="G24" t="s">
        <v>24</v>
      </c>
      <c r="H24" s="1">
        <v>45721.77847222222</v>
      </c>
      <c r="I24">
        <v>16095</v>
      </c>
      <c r="J24">
        <v>1227</v>
      </c>
      <c r="K24" t="str">
        <f>"0430"</f>
        <v>0430</v>
      </c>
      <c r="L24">
        <v>1</v>
      </c>
      <c r="M24" t="s">
        <v>25</v>
      </c>
      <c r="N24" t="s">
        <v>92</v>
      </c>
      <c r="Q24" t="s">
        <v>34</v>
      </c>
      <c r="R24" t="s">
        <v>28</v>
      </c>
      <c r="T24">
        <v>49139532</v>
      </c>
      <c r="U24">
        <v>86001203</v>
      </c>
      <c r="V24">
        <v>127376</v>
      </c>
    </row>
    <row r="25" spans="1:22" x14ac:dyDescent="0.2">
      <c r="A25">
        <v>329810063</v>
      </c>
      <c r="B25" t="s">
        <v>82</v>
      </c>
      <c r="C25" t="s">
        <v>83</v>
      </c>
      <c r="D25" t="s">
        <v>84</v>
      </c>
      <c r="E25" t="s">
        <v>85</v>
      </c>
      <c r="F25">
        <v>1000</v>
      </c>
      <c r="G25" t="s">
        <v>24</v>
      </c>
      <c r="H25" s="1">
        <v>45721.780555555553</v>
      </c>
      <c r="I25" t="str">
        <f>"0724880"</f>
        <v>0724880</v>
      </c>
      <c r="J25" t="str">
        <f>"0454"</f>
        <v>0454</v>
      </c>
      <c r="K25" t="str">
        <f>"0630"</f>
        <v>0630</v>
      </c>
      <c r="L25">
        <v>1</v>
      </c>
      <c r="M25" t="s">
        <v>25</v>
      </c>
      <c r="N25" t="s">
        <v>86</v>
      </c>
      <c r="Q25" t="s">
        <v>34</v>
      </c>
      <c r="R25" t="s">
        <v>28</v>
      </c>
      <c r="T25">
        <v>49139747</v>
      </c>
      <c r="U25">
        <v>86001205</v>
      </c>
      <c r="V25">
        <v>127378</v>
      </c>
    </row>
    <row r="26" spans="1:22" x14ac:dyDescent="0.2">
      <c r="B26" t="s">
        <v>87</v>
      </c>
      <c r="F26">
        <v>50</v>
      </c>
      <c r="G26" t="s">
        <v>24</v>
      </c>
      <c r="H26" s="1">
        <v>45721.780555555553</v>
      </c>
      <c r="I26" t="str">
        <f>"0718122"</f>
        <v>0718122</v>
      </c>
      <c r="J26">
        <v>9898</v>
      </c>
      <c r="K26">
        <v>1128</v>
      </c>
      <c r="L26">
        <v>1</v>
      </c>
      <c r="M26" t="s">
        <v>25</v>
      </c>
      <c r="N26" t="s">
        <v>43</v>
      </c>
      <c r="Q26" t="s">
        <v>34</v>
      </c>
      <c r="R26" t="s">
        <v>28</v>
      </c>
      <c r="T26">
        <v>49139736</v>
      </c>
      <c r="U26">
        <v>86001204</v>
      </c>
      <c r="V26">
        <v>127377</v>
      </c>
    </row>
    <row r="27" spans="1:22" x14ac:dyDescent="0.2">
      <c r="A27" t="str">
        <f>"038272480"</f>
        <v>038272480</v>
      </c>
      <c r="B27" t="s">
        <v>80</v>
      </c>
      <c r="F27">
        <v>180</v>
      </c>
      <c r="G27" t="s">
        <v>24</v>
      </c>
      <c r="H27" s="1">
        <v>45721.781944444447</v>
      </c>
      <c r="I27">
        <v>26628</v>
      </c>
      <c r="J27">
        <v>9895</v>
      </c>
      <c r="K27" t="str">
        <f>"0727"</f>
        <v>0727</v>
      </c>
      <c r="L27">
        <v>1</v>
      </c>
      <c r="M27" t="s">
        <v>25</v>
      </c>
      <c r="N27" t="s">
        <v>81</v>
      </c>
      <c r="Q27" t="s">
        <v>34</v>
      </c>
      <c r="R27" t="s">
        <v>28</v>
      </c>
      <c r="T27">
        <v>49139797</v>
      </c>
      <c r="U27">
        <v>86001206</v>
      </c>
      <c r="V27">
        <v>127379</v>
      </c>
    </row>
    <row r="28" spans="1:22" x14ac:dyDescent="0.2">
      <c r="A28">
        <v>304933807</v>
      </c>
      <c r="B28" t="s">
        <v>74</v>
      </c>
      <c r="C28" t="s">
        <v>75</v>
      </c>
      <c r="D28" t="s">
        <v>76</v>
      </c>
      <c r="E28" t="s">
        <v>77</v>
      </c>
      <c r="F28">
        <v>36</v>
      </c>
      <c r="G28" t="s">
        <v>24</v>
      </c>
      <c r="H28" s="1">
        <v>45721.782638888886</v>
      </c>
      <c r="I28">
        <v>28729</v>
      </c>
      <c r="J28">
        <v>6625</v>
      </c>
      <c r="K28">
        <v>1226</v>
      </c>
      <c r="L28">
        <v>1</v>
      </c>
      <c r="M28" t="s">
        <v>25</v>
      </c>
      <c r="N28" t="s">
        <v>78</v>
      </c>
      <c r="O28" t="s">
        <v>79</v>
      </c>
      <c r="P28">
        <v>2939</v>
      </c>
      <c r="Q28" t="s">
        <v>34</v>
      </c>
      <c r="R28" t="s">
        <v>28</v>
      </c>
      <c r="T28">
        <v>49139846</v>
      </c>
      <c r="U28">
        <v>86001207</v>
      </c>
      <c r="V28">
        <v>127380</v>
      </c>
    </row>
    <row r="29" spans="1:22" x14ac:dyDescent="0.2">
      <c r="A29">
        <v>327094908</v>
      </c>
      <c r="B29" t="s">
        <v>67</v>
      </c>
      <c r="F29">
        <v>18</v>
      </c>
      <c r="G29" t="s">
        <v>24</v>
      </c>
      <c r="H29" s="1">
        <v>45721.783333333333</v>
      </c>
      <c r="I29">
        <v>1693256</v>
      </c>
      <c r="J29">
        <v>7179</v>
      </c>
      <c r="K29" t="str">
        <f>"0826"</f>
        <v>0826</v>
      </c>
      <c r="L29">
        <v>1</v>
      </c>
      <c r="M29" t="s">
        <v>25</v>
      </c>
      <c r="N29" t="s">
        <v>68</v>
      </c>
      <c r="Q29" t="s">
        <v>27</v>
      </c>
      <c r="R29" t="s">
        <v>28</v>
      </c>
      <c r="T29">
        <v>49139893</v>
      </c>
      <c r="U29">
        <v>86001209</v>
      </c>
      <c r="V29">
        <v>127382</v>
      </c>
    </row>
    <row r="30" spans="1:22" x14ac:dyDescent="0.2">
      <c r="A30" t="str">
        <f>"011332749"</f>
        <v>011332749</v>
      </c>
      <c r="B30" t="s">
        <v>69</v>
      </c>
      <c r="C30" t="s">
        <v>70</v>
      </c>
      <c r="D30" t="s">
        <v>71</v>
      </c>
      <c r="E30" t="s">
        <v>72</v>
      </c>
      <c r="F30">
        <v>50</v>
      </c>
      <c r="G30" t="s">
        <v>24</v>
      </c>
      <c r="H30" s="1">
        <v>45721.783333333333</v>
      </c>
      <c r="I30">
        <v>1692066</v>
      </c>
      <c r="J30">
        <v>1640</v>
      </c>
      <c r="K30" t="str">
        <f>"0230"</f>
        <v>0230</v>
      </c>
      <c r="L30">
        <v>1</v>
      </c>
      <c r="M30" t="s">
        <v>25</v>
      </c>
      <c r="N30" t="s">
        <v>73</v>
      </c>
      <c r="Q30" t="s">
        <v>27</v>
      </c>
      <c r="R30" t="s">
        <v>28</v>
      </c>
      <c r="T30">
        <v>49139887</v>
      </c>
      <c r="U30">
        <v>86001208</v>
      </c>
      <c r="V30">
        <v>127381</v>
      </c>
    </row>
    <row r="31" spans="1:22" x14ac:dyDescent="0.2">
      <c r="A31">
        <v>212013882</v>
      </c>
      <c r="B31" t="s">
        <v>65</v>
      </c>
      <c r="F31">
        <v>10</v>
      </c>
      <c r="G31" t="s">
        <v>24</v>
      </c>
      <c r="H31" s="1">
        <v>45721.78402777778</v>
      </c>
      <c r="I31">
        <v>1700790</v>
      </c>
      <c r="J31">
        <v>6449</v>
      </c>
      <c r="K31">
        <v>1129</v>
      </c>
      <c r="L31">
        <v>1</v>
      </c>
      <c r="M31" t="s">
        <v>25</v>
      </c>
      <c r="N31" t="s">
        <v>66</v>
      </c>
      <c r="Q31" t="s">
        <v>27</v>
      </c>
      <c r="R31" t="s">
        <v>28</v>
      </c>
      <c r="T31">
        <v>49139931</v>
      </c>
      <c r="U31">
        <v>86001210</v>
      </c>
      <c r="V31">
        <v>127383</v>
      </c>
    </row>
    <row r="32" spans="1:22" x14ac:dyDescent="0.2">
      <c r="A32">
        <v>326154218</v>
      </c>
      <c r="B32" t="s">
        <v>62</v>
      </c>
      <c r="E32" t="s">
        <v>63</v>
      </c>
      <c r="F32">
        <v>19</v>
      </c>
      <c r="G32" t="s">
        <v>24</v>
      </c>
      <c r="H32" s="1">
        <v>45721.784722222219</v>
      </c>
      <c r="I32" t="str">
        <f>"0876128"</f>
        <v>0876128</v>
      </c>
      <c r="J32">
        <v>5758</v>
      </c>
      <c r="K32" t="str">
        <f>"0130"</f>
        <v>0130</v>
      </c>
      <c r="L32">
        <v>1</v>
      </c>
      <c r="M32" t="s">
        <v>25</v>
      </c>
      <c r="N32" t="s">
        <v>64</v>
      </c>
      <c r="Q32" t="s">
        <v>27</v>
      </c>
      <c r="R32" t="s">
        <v>28</v>
      </c>
      <c r="T32">
        <v>49139936</v>
      </c>
      <c r="U32">
        <v>86001211</v>
      </c>
      <c r="V32">
        <v>127384</v>
      </c>
    </row>
    <row r="33" spans="1:22" x14ac:dyDescent="0.2">
      <c r="B33" t="s">
        <v>59</v>
      </c>
      <c r="F33">
        <v>132</v>
      </c>
      <c r="G33" t="s">
        <v>24</v>
      </c>
      <c r="H33" s="1">
        <v>45721.785416666666</v>
      </c>
      <c r="I33">
        <v>37602</v>
      </c>
      <c r="J33">
        <v>8422</v>
      </c>
      <c r="K33">
        <v>1130</v>
      </c>
      <c r="L33">
        <v>1</v>
      </c>
      <c r="M33" t="s">
        <v>25</v>
      </c>
      <c r="N33" t="s">
        <v>60</v>
      </c>
      <c r="Q33" t="s">
        <v>34</v>
      </c>
      <c r="R33" t="s">
        <v>28</v>
      </c>
      <c r="T33">
        <v>49140001</v>
      </c>
      <c r="U33">
        <v>86001213</v>
      </c>
      <c r="V33">
        <v>127386</v>
      </c>
    </row>
    <row r="34" spans="1:22" x14ac:dyDescent="0.2">
      <c r="A34">
        <v>215979451</v>
      </c>
      <c r="B34" t="s">
        <v>61</v>
      </c>
      <c r="F34">
        <v>70</v>
      </c>
      <c r="G34" t="s">
        <v>24</v>
      </c>
      <c r="H34" s="1">
        <v>45721.785416666666</v>
      </c>
      <c r="I34" t="str">
        <f>"0908483"</f>
        <v>0908483</v>
      </c>
      <c r="J34">
        <v>4029</v>
      </c>
      <c r="K34" t="str">
        <f>"0830"</f>
        <v>0830</v>
      </c>
      <c r="L34">
        <v>1</v>
      </c>
      <c r="M34" t="s">
        <v>25</v>
      </c>
      <c r="N34" t="s">
        <v>41</v>
      </c>
      <c r="Q34" t="s">
        <v>34</v>
      </c>
      <c r="R34" t="s">
        <v>28</v>
      </c>
      <c r="T34">
        <v>49139971</v>
      </c>
      <c r="U34">
        <v>86001212</v>
      </c>
      <c r="V34">
        <v>127385</v>
      </c>
    </row>
    <row r="35" spans="1:22" x14ac:dyDescent="0.2">
      <c r="A35" t="str">
        <f>"063455869"</f>
        <v>063455869</v>
      </c>
      <c r="B35" t="s">
        <v>57</v>
      </c>
      <c r="F35">
        <v>200</v>
      </c>
      <c r="G35" t="s">
        <v>24</v>
      </c>
      <c r="H35" s="1">
        <v>45721.786805555559</v>
      </c>
      <c r="I35">
        <v>1726746</v>
      </c>
      <c r="J35">
        <v>2345</v>
      </c>
      <c r="K35" t="str">
        <f>"0726"</f>
        <v>0726</v>
      </c>
      <c r="L35">
        <v>1</v>
      </c>
      <c r="M35" t="s">
        <v>25</v>
      </c>
      <c r="N35" t="s">
        <v>58</v>
      </c>
      <c r="Q35" t="s">
        <v>27</v>
      </c>
      <c r="R35" t="s">
        <v>28</v>
      </c>
      <c r="T35">
        <v>49140090</v>
      </c>
      <c r="U35">
        <v>86001214</v>
      </c>
      <c r="V35">
        <v>127387</v>
      </c>
    </row>
    <row r="36" spans="1:22" x14ac:dyDescent="0.2">
      <c r="A36">
        <v>326387461</v>
      </c>
      <c r="B36" t="s">
        <v>54</v>
      </c>
      <c r="C36" t="s">
        <v>55</v>
      </c>
      <c r="F36">
        <v>20</v>
      </c>
      <c r="G36" t="s">
        <v>24</v>
      </c>
      <c r="H36" s="1">
        <v>45721.788888888892</v>
      </c>
      <c r="I36">
        <v>1743732</v>
      </c>
      <c r="J36">
        <v>7293</v>
      </c>
      <c r="K36">
        <v>1030</v>
      </c>
      <c r="L36">
        <v>1</v>
      </c>
      <c r="M36" t="s">
        <v>25</v>
      </c>
      <c r="N36" t="s">
        <v>56</v>
      </c>
      <c r="Q36" t="s">
        <v>34</v>
      </c>
      <c r="R36" t="s">
        <v>28</v>
      </c>
      <c r="T36">
        <v>49140209</v>
      </c>
      <c r="U36">
        <v>86001215</v>
      </c>
      <c r="V36">
        <v>127388</v>
      </c>
    </row>
    <row r="37" spans="1:22" x14ac:dyDescent="0.2">
      <c r="A37">
        <v>317711156</v>
      </c>
      <c r="B37" t="s">
        <v>52</v>
      </c>
      <c r="F37">
        <v>97</v>
      </c>
      <c r="G37" t="s">
        <v>24</v>
      </c>
      <c r="H37" s="1">
        <v>45721.789583333331</v>
      </c>
      <c r="I37">
        <v>660147</v>
      </c>
      <c r="J37">
        <v>7144</v>
      </c>
      <c r="K37">
        <v>1025</v>
      </c>
      <c r="L37">
        <v>1</v>
      </c>
      <c r="M37" t="s">
        <v>25</v>
      </c>
      <c r="N37" t="s">
        <v>53</v>
      </c>
      <c r="Q37" t="s">
        <v>34</v>
      </c>
      <c r="R37" t="s">
        <v>28</v>
      </c>
      <c r="T37">
        <v>49140227</v>
      </c>
      <c r="U37">
        <v>86001216</v>
      </c>
      <c r="V37">
        <v>127389</v>
      </c>
    </row>
    <row r="38" spans="1:22" x14ac:dyDescent="0.2">
      <c r="A38">
        <v>327031506</v>
      </c>
      <c r="B38" t="s">
        <v>48</v>
      </c>
      <c r="F38">
        <v>30</v>
      </c>
      <c r="G38" t="s">
        <v>24</v>
      </c>
      <c r="H38" s="1">
        <v>45721.790972222225</v>
      </c>
      <c r="I38">
        <v>1761799</v>
      </c>
      <c r="J38">
        <v>7972</v>
      </c>
      <c r="K38" t="str">
        <f>"0826"</f>
        <v>0826</v>
      </c>
      <c r="L38">
        <v>1</v>
      </c>
      <c r="M38" t="s">
        <v>25</v>
      </c>
      <c r="N38" t="s">
        <v>49</v>
      </c>
      <c r="Q38" t="s">
        <v>27</v>
      </c>
      <c r="R38" t="s">
        <v>28</v>
      </c>
      <c r="T38">
        <v>49140373</v>
      </c>
      <c r="U38">
        <v>86001218</v>
      </c>
      <c r="V38">
        <v>127391</v>
      </c>
    </row>
    <row r="39" spans="1:22" x14ac:dyDescent="0.2">
      <c r="A39">
        <v>309647618</v>
      </c>
      <c r="B39" t="s">
        <v>50</v>
      </c>
      <c r="F39">
        <v>50</v>
      </c>
      <c r="G39" t="s">
        <v>24</v>
      </c>
      <c r="H39" s="1">
        <v>45721.790972222225</v>
      </c>
      <c r="I39" t="str">
        <f>"0134908"</f>
        <v>0134908</v>
      </c>
      <c r="J39">
        <v>6044</v>
      </c>
      <c r="K39" t="str">
        <f>"0630"</f>
        <v>0630</v>
      </c>
      <c r="L39">
        <v>1</v>
      </c>
      <c r="M39" t="s">
        <v>25</v>
      </c>
      <c r="N39" t="s">
        <v>51</v>
      </c>
      <c r="Q39" t="s">
        <v>34</v>
      </c>
      <c r="R39" t="s">
        <v>28</v>
      </c>
      <c r="T39">
        <v>49140345</v>
      </c>
      <c r="U39">
        <v>86001217</v>
      </c>
      <c r="V39">
        <v>127390</v>
      </c>
    </row>
    <row r="40" spans="1:22" x14ac:dyDescent="0.2">
      <c r="A40" t="str">
        <f>"039831524"</f>
        <v>039831524</v>
      </c>
      <c r="B40" t="s">
        <v>44</v>
      </c>
      <c r="F40">
        <v>100</v>
      </c>
      <c r="G40" t="s">
        <v>24</v>
      </c>
      <c r="H40" s="1">
        <v>45721.793749999997</v>
      </c>
      <c r="I40">
        <v>60669</v>
      </c>
      <c r="J40">
        <v>2344</v>
      </c>
      <c r="K40" t="str">
        <f>"0930"</f>
        <v>0930</v>
      </c>
      <c r="L40">
        <v>1</v>
      </c>
      <c r="M40" t="s">
        <v>25</v>
      </c>
      <c r="N40" t="s">
        <v>45</v>
      </c>
      <c r="Q40" t="s">
        <v>34</v>
      </c>
      <c r="R40" t="s">
        <v>28</v>
      </c>
      <c r="T40">
        <v>49140521</v>
      </c>
      <c r="U40">
        <v>86001220</v>
      </c>
      <c r="V40">
        <v>127393</v>
      </c>
    </row>
    <row r="41" spans="1:22" x14ac:dyDescent="0.2">
      <c r="A41">
        <v>324217827</v>
      </c>
      <c r="B41" t="s">
        <v>46</v>
      </c>
      <c r="F41">
        <v>50</v>
      </c>
      <c r="G41" t="s">
        <v>24</v>
      </c>
      <c r="H41" s="1">
        <v>45721.793749999997</v>
      </c>
      <c r="I41">
        <v>1783302</v>
      </c>
      <c r="J41">
        <v>1794</v>
      </c>
      <c r="K41">
        <v>1027</v>
      </c>
      <c r="L41">
        <v>1</v>
      </c>
      <c r="M41" t="s">
        <v>25</v>
      </c>
      <c r="N41" t="s">
        <v>47</v>
      </c>
      <c r="Q41" t="s">
        <v>27</v>
      </c>
      <c r="R41" t="s">
        <v>28</v>
      </c>
      <c r="T41">
        <v>49140514</v>
      </c>
      <c r="U41">
        <v>86001219</v>
      </c>
      <c r="V41">
        <v>127392</v>
      </c>
    </row>
    <row r="42" spans="1:22" x14ac:dyDescent="0.2">
      <c r="A42">
        <v>302869383</v>
      </c>
      <c r="B42" t="s">
        <v>42</v>
      </c>
      <c r="F42">
        <v>400</v>
      </c>
      <c r="G42" t="s">
        <v>24</v>
      </c>
      <c r="H42" s="1">
        <v>45721.794444444444</v>
      </c>
      <c r="I42" t="str">
        <f>"0295543"</f>
        <v>0295543</v>
      </c>
      <c r="J42">
        <v>8191</v>
      </c>
      <c r="K42" t="str">
        <f>"0728"</f>
        <v>0728</v>
      </c>
      <c r="L42">
        <v>1</v>
      </c>
      <c r="M42" t="s">
        <v>25</v>
      </c>
      <c r="N42" t="s">
        <v>43</v>
      </c>
      <c r="Q42" t="s">
        <v>34</v>
      </c>
      <c r="R42" t="s">
        <v>28</v>
      </c>
      <c r="T42">
        <v>49140580</v>
      </c>
      <c r="U42">
        <v>86001221</v>
      </c>
      <c r="V42">
        <v>127394</v>
      </c>
    </row>
    <row r="43" spans="1:22" x14ac:dyDescent="0.2">
      <c r="A43">
        <v>324816495</v>
      </c>
      <c r="B43" t="s">
        <v>35</v>
      </c>
      <c r="C43" t="s">
        <v>36</v>
      </c>
      <c r="D43" t="s">
        <v>37</v>
      </c>
      <c r="E43" t="s">
        <v>38</v>
      </c>
      <c r="F43">
        <v>60</v>
      </c>
      <c r="G43" t="s">
        <v>24</v>
      </c>
      <c r="H43" s="1">
        <v>45721.795138888891</v>
      </c>
      <c r="I43">
        <v>1800710</v>
      </c>
      <c r="J43">
        <v>4426</v>
      </c>
      <c r="K43">
        <v>1229</v>
      </c>
      <c r="L43">
        <v>1</v>
      </c>
      <c r="M43" t="s">
        <v>25</v>
      </c>
      <c r="N43" t="s">
        <v>39</v>
      </c>
      <c r="Q43" t="s">
        <v>27</v>
      </c>
      <c r="R43" t="s">
        <v>28</v>
      </c>
      <c r="T43">
        <v>49140616</v>
      </c>
      <c r="U43">
        <v>86001223</v>
      </c>
      <c r="V43">
        <v>127396</v>
      </c>
    </row>
    <row r="44" spans="1:22" x14ac:dyDescent="0.2">
      <c r="A44" t="str">
        <f>"054493655"</f>
        <v>054493655</v>
      </c>
      <c r="B44" t="s">
        <v>40</v>
      </c>
      <c r="F44">
        <v>100</v>
      </c>
      <c r="G44" t="s">
        <v>24</v>
      </c>
      <c r="H44" s="1">
        <v>45721.795138888891</v>
      </c>
      <c r="I44">
        <v>65747</v>
      </c>
      <c r="J44">
        <v>7259</v>
      </c>
      <c r="K44" t="str">
        <f>"0725"</f>
        <v>0725</v>
      </c>
      <c r="L44">
        <v>1</v>
      </c>
      <c r="M44" t="s">
        <v>25</v>
      </c>
      <c r="N44" t="s">
        <v>41</v>
      </c>
      <c r="Q44" t="s">
        <v>34</v>
      </c>
      <c r="R44" t="s">
        <v>28</v>
      </c>
      <c r="T44">
        <v>49140614</v>
      </c>
      <c r="U44">
        <v>86001222</v>
      </c>
      <c r="V44">
        <v>127395</v>
      </c>
    </row>
    <row r="45" spans="1:22" x14ac:dyDescent="0.2">
      <c r="A45">
        <v>328515044</v>
      </c>
      <c r="B45" t="s">
        <v>29</v>
      </c>
      <c r="C45" t="s">
        <v>30</v>
      </c>
      <c r="D45" t="s">
        <v>31</v>
      </c>
      <c r="E45" t="s">
        <v>32</v>
      </c>
      <c r="F45">
        <v>110</v>
      </c>
      <c r="G45" t="s">
        <v>24</v>
      </c>
      <c r="H45" s="1">
        <v>45721.796527777777</v>
      </c>
      <c r="I45">
        <v>1811239</v>
      </c>
      <c r="J45">
        <v>4843</v>
      </c>
      <c r="K45">
        <v>1230</v>
      </c>
      <c r="L45">
        <v>1</v>
      </c>
      <c r="M45" t="s">
        <v>25</v>
      </c>
      <c r="N45" t="s">
        <v>33</v>
      </c>
      <c r="Q45" t="s">
        <v>34</v>
      </c>
      <c r="R45" t="s">
        <v>28</v>
      </c>
      <c r="T45">
        <v>49140672</v>
      </c>
      <c r="U45">
        <v>86001224</v>
      </c>
      <c r="V45">
        <v>127397</v>
      </c>
    </row>
    <row r="46" spans="1:22" x14ac:dyDescent="0.2">
      <c r="A46" t="str">
        <f>"015541204"</f>
        <v>015541204</v>
      </c>
      <c r="B46" t="s">
        <v>22</v>
      </c>
      <c r="E46" t="s">
        <v>23</v>
      </c>
      <c r="F46">
        <v>36</v>
      </c>
      <c r="G46" t="s">
        <v>24</v>
      </c>
      <c r="H46" s="1">
        <v>45721.797222222223</v>
      </c>
      <c r="I46">
        <v>1815195</v>
      </c>
      <c r="J46">
        <v>3180</v>
      </c>
      <c r="K46" t="str">
        <f>"0427"</f>
        <v>0427</v>
      </c>
      <c r="L46">
        <v>1</v>
      </c>
      <c r="M46" t="s">
        <v>25</v>
      </c>
      <c r="N46" t="s">
        <v>26</v>
      </c>
      <c r="Q46" t="s">
        <v>27</v>
      </c>
      <c r="R46" t="s">
        <v>28</v>
      </c>
      <c r="T46">
        <v>49140685</v>
      </c>
      <c r="U46">
        <v>86001225</v>
      </c>
      <c r="V46">
        <v>127398</v>
      </c>
    </row>
  </sheetData>
  <autoFilter ref="A1:V46">
    <sortState ref="A2:V46">
      <sortCondition ref="H1:H4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ExportHistory_01.03.25_05.03.25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batshi_k</dc:creator>
  <cp:lastModifiedBy>batshi_k</cp:lastModifiedBy>
  <dcterms:created xsi:type="dcterms:W3CDTF">2025-03-05T17:13:01Z</dcterms:created>
  <dcterms:modified xsi:type="dcterms:W3CDTF">2025-03-05T17:13:01Z</dcterms:modified>
</cp:coreProperties>
</file>