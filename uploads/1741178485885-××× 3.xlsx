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8_{DFC9A901-BBF1-468E-BFEE-C5A0676CC058}" xr6:coauthVersionLast="36" xr6:coauthVersionMax="36" xr10:uidLastSave="{00000000-0000-0000-0000-000000000000}"/>
  <bookViews>
    <workbookView xWindow="0" yWindow="0" windowWidth="28800" windowHeight="12255"/>
  </bookViews>
  <sheets>
    <sheet name="ExportHistory_05.03.25_04.03.26" sheetId="1" r:id="rId1"/>
  </sheets>
  <definedNames>
    <definedName name="_xlnm._FilterDatabase" localSheetId="0" hidden="1">ExportHistory_05.03.25_04.03.26!$A$1:$V$31</definedName>
  </definedNames>
  <calcPr calcId="0"/>
</workbook>
</file>

<file path=xl/calcChain.xml><?xml version="1.0" encoding="utf-8"?>
<calcChain xmlns="http://schemas.openxmlformats.org/spreadsheetml/2006/main">
  <c r="A2" i="1" l="1"/>
  <c r="I2" i="1"/>
  <c r="K2" i="1"/>
  <c r="A3" i="1"/>
  <c r="I3" i="1"/>
  <c r="K3" i="1"/>
  <c r="A4" i="1"/>
  <c r="I4" i="1"/>
  <c r="K4" i="1"/>
  <c r="A5" i="1"/>
  <c r="I5" i="1"/>
  <c r="K5" i="1"/>
  <c r="A6" i="1"/>
  <c r="I6" i="1"/>
  <c r="K6" i="1"/>
  <c r="A7" i="1"/>
  <c r="I7" i="1"/>
  <c r="K7" i="1"/>
  <c r="A8" i="1"/>
  <c r="I8" i="1"/>
  <c r="K8" i="1"/>
  <c r="A9" i="1"/>
  <c r="I9" i="1"/>
  <c r="K9" i="1"/>
  <c r="A10" i="1"/>
  <c r="I10" i="1"/>
  <c r="K10" i="1"/>
  <c r="I11" i="1"/>
  <c r="K11" i="1"/>
  <c r="I13" i="1"/>
  <c r="A14" i="1"/>
  <c r="I14" i="1"/>
  <c r="K14" i="1"/>
  <c r="I15" i="1"/>
  <c r="K15" i="1"/>
  <c r="A16" i="1"/>
  <c r="K16" i="1"/>
  <c r="I17" i="1"/>
  <c r="J17" i="1"/>
  <c r="K18" i="1"/>
  <c r="K19" i="1"/>
  <c r="A20" i="1"/>
  <c r="K20" i="1"/>
  <c r="I21" i="1"/>
  <c r="K21" i="1"/>
  <c r="A23" i="1"/>
  <c r="K23" i="1"/>
  <c r="I24" i="1"/>
  <c r="K25" i="1"/>
  <c r="I26" i="1"/>
  <c r="K26" i="1"/>
  <c r="J27" i="1"/>
  <c r="K27" i="1"/>
  <c r="A28" i="1"/>
  <c r="I28" i="1"/>
  <c r="A29" i="1"/>
  <c r="J29" i="1"/>
  <c r="K29" i="1"/>
  <c r="A30" i="1"/>
  <c r="I30" i="1"/>
  <c r="K30" i="1"/>
  <c r="A31" i="1"/>
  <c r="K31" i="1"/>
</calcChain>
</file>

<file path=xl/sharedStrings.xml><?xml version="1.0" encoding="utf-8"?>
<sst xmlns="http://schemas.openxmlformats.org/spreadsheetml/2006/main" count="245" uniqueCount="107">
  <si>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</si>
  <si>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</si>
  <si>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</si>
  <si>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</si>
  <si>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</si>
  <si>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</si>
  <si>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</si>
  <si>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</si>
  <si>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</si>
  <si>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</si>
  <si>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</si>
  <si>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</si>
  <si>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</si>
  <si>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</si>
  <si>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</si>
  <si>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</si>
  <si>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</si>
  <si>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</si>
  <si>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</si>
  <si>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</si>
  <si>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</si>
  <si>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</si>
  <si>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משה רשד</t>
  </si>
  <si>
    <t>שקל</t>
  </si>
  <si>
    <t>10 מתוך 10</t>
  </si>
  <si>
    <t>קמפיין הכנסת כלה תשפ"ה</t>
  </si>
  <si>
    <t>אביטל רשד</t>
  </si>
  <si>
    <t>מסטרכרד</t>
  </si>
  <si>
    <t>ישראכרט</t>
  </si>
  <si>
    <t>9 מתוך 10</t>
  </si>
  <si>
    <t>8 מתוך 10</t>
  </si>
  <si>
    <t>7 מתוך 10</t>
  </si>
  <si>
    <t>6 מתוך 10</t>
  </si>
  <si>
    <t>5 מתוך 10</t>
  </si>
  <si>
    <t>4 מתוך 10</t>
  </si>
  <si>
    <t>3 מתוך 10</t>
  </si>
  <si>
    <t>2 מתוך 10</t>
  </si>
  <si>
    <t>אלישבע קצנלבוגן</t>
  </si>
  <si>
    <t>בני ברק</t>
  </si>
  <si>
    <t>2 מתוך 2</t>
  </si>
  <si>
    <t>מרים קדר</t>
  </si>
  <si>
    <t>ויזה</t>
  </si>
  <si>
    <t>נתן אלטמן</t>
  </si>
  <si>
    <t>nathan.altmann@gmail.com</t>
  </si>
  <si>
    <t>פופלבסקי מיכל</t>
  </si>
  <si>
    <t>נחל ניצנים 5 בית שמש</t>
  </si>
  <si>
    <t>052-7602735</t>
  </si>
  <si>
    <t>michalpop2735@gmail.com</t>
  </si>
  <si>
    <t>מיכל פופלבסקי</t>
  </si>
  <si>
    <t>1 מתוך 10</t>
  </si>
  <si>
    <t>רבקה אפיק</t>
  </si>
  <si>
    <t>נוף העמק 12 מגדל העמק</t>
  </si>
  <si>
    <t>053-4142904</t>
  </si>
  <si>
    <t>rivka6440@gmail.com</t>
  </si>
  <si>
    <t xml:space="preserve">יעל אפיק </t>
  </si>
  <si>
    <t>צפורה רשד</t>
  </si>
  <si>
    <t>הודיה שלום</t>
  </si>
  <si>
    <t>בורוכוב 9 רעננה</t>
  </si>
  <si>
    <t>058-7878505</t>
  </si>
  <si>
    <t>hodayash1414@gmail.com</t>
  </si>
  <si>
    <t>חוי רענן</t>
  </si>
  <si>
    <t xml:space="preserve">ביתר עילית </t>
  </si>
  <si>
    <t>שרה לוי</t>
  </si>
  <si>
    <t>שרה זלקינד</t>
  </si>
  <si>
    <t>פיליפ שרון</t>
  </si>
  <si>
    <t>7170607@gmail.com</t>
  </si>
  <si>
    <t>1 מתוך 2</t>
  </si>
  <si>
    <t xml:space="preserve">Chananya Ehrman </t>
  </si>
  <si>
    <t xml:space="preserve">ים סוף 8  ירושלים </t>
  </si>
  <si>
    <t>052-6275470</t>
  </si>
  <si>
    <t>henry1467@gmail.com</t>
  </si>
  <si>
    <t xml:space="preserve"> 00020D</t>
  </si>
  <si>
    <t>ברכה וידן</t>
  </si>
  <si>
    <t>רוחמה נדל</t>
  </si>
  <si>
    <t>פרל ברכה נדל</t>
  </si>
  <si>
    <t>רבקה מנילוב</t>
  </si>
  <si>
    <t>השעורה אופקים</t>
  </si>
  <si>
    <t>058-3215186</t>
  </si>
  <si>
    <t>yeldimmanilov@gmail.com</t>
  </si>
  <si>
    <t>אביגיל נדב</t>
  </si>
  <si>
    <t>י.ל פרץ 39 רעננה</t>
  </si>
  <si>
    <t>053-3186163</t>
  </si>
  <si>
    <t>avigail6163@gmail.com</t>
  </si>
  <si>
    <t>מירי נדב</t>
  </si>
  <si>
    <t>צביה ניאזוב</t>
  </si>
  <si>
    <t>אריך מנדלסון 7  ירושלים</t>
  </si>
  <si>
    <t>053-4715083</t>
  </si>
  <si>
    <t>מיימון רבקה</t>
  </si>
  <si>
    <t>המ"ג 40 ירושלים</t>
  </si>
  <si>
    <t>054-5453720</t>
  </si>
  <si>
    <t>rivkky@gmail.com</t>
  </si>
  <si>
    <t>חנה פרץ</t>
  </si>
  <si>
    <t>העברה בקליק</t>
  </si>
  <si>
    <t>נחמה הנדלר</t>
  </si>
  <si>
    <t>רח' פנים מאירות 1/1 כניסה א' קומה -1, ירושלים ירושלים</t>
  </si>
  <si>
    <t>052-7678228</t>
  </si>
  <si>
    <t>ynhendler@gmail.com</t>
  </si>
  <si>
    <t>גאולה רחל</t>
  </si>
  <si>
    <t>חזו"א 1561/14 אופקים</t>
  </si>
  <si>
    <t>054-8468628</t>
  </si>
  <si>
    <t>rachel.g.bh1@gmail.com</t>
  </si>
  <si>
    <t>בהצלחה רבה לכולן ובשמחות בקרוב</t>
  </si>
  <si>
    <t xml:space="preserve">Leah Tawachi </t>
  </si>
  <si>
    <t>Panama Panama</t>
  </si>
  <si>
    <t>leahtawachi@gmail.com</t>
  </si>
  <si>
    <t>דולר</t>
  </si>
  <si>
    <t>רבקי מיתא מדירת וילה התרימה אותי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</si>
</sst>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rightToLeft="1" tabSelected="1" workbookViewId="0">
      <selection activeCell="M34" sqref="M34"/>
    </sheetView>
  </sheetViews>
  <sheetFormatPr defaultRowHeight="14.25" x14ac:dyDescent="0.2"/>
  <cols>
    <col min="1" max="1" width="11.125" bestFit="1" customWidth="1"/>
    <col min="2" max="2" width="16.75" bestFit="1" customWidth="1"/>
    <col min="3" max="3" width="41.5" bestFit="1" customWidth="1"/>
    <col min="4" max="4" width="11.875" bestFit="1" customWidth="1"/>
    <col min="5" max="5" width="24.12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625" bestFit="1" customWidth="1"/>
    <col min="13" max="13" width="20" bestFit="1" customWidth="1"/>
    <col min="14" max="14" width="40.625" bestFit="1" customWidth="1"/>
    <col min="15" max="15" width="9.5" bestFit="1" customWidth="1"/>
    <col min="16" max="16" width="11.375" bestFit="1" customWidth="1"/>
    <col min="17" max="17" width="10.87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tr">
        <f>"032106212"</f>
        <v>032106212</v>
      </c>
      <c r="B2" t="s">
        <v>22</v>
      </c>
      <c r="F2">
        <v>100</v>
      </c>
      <c r="G2" t="s">
        <v>23</v>
      </c>
      <c r="H2" s="1">
        <v>45996.602083333331</v>
      </c>
      <c r="I2" t="str">
        <f>"0995886"</f>
        <v>0995886</v>
      </c>
      <c r="J2">
        <v>8160</v>
      </c>
      <c r="K2" t="str">
        <f>"0830"</f>
        <v>0830</v>
      </c>
      <c r="L2" t="s">
        <v>24</v>
      </c>
      <c r="M2" t="s">
        <v>25</v>
      </c>
      <c r="N2" t="s">
        <v>26</v>
      </c>
      <c r="Q2" t="s">
        <v>27</v>
      </c>
      <c r="R2" t="s">
        <v>28</v>
      </c>
      <c r="T2">
        <v>49130566</v>
      </c>
      <c r="U2">
        <v>86001021</v>
      </c>
    </row>
    <row r="3" spans="1:22" x14ac:dyDescent="0.2">
      <c r="A3" t="str">
        <f>"032106212"</f>
        <v>032106212</v>
      </c>
      <c r="B3" t="s">
        <v>22</v>
      </c>
      <c r="F3">
        <v>100</v>
      </c>
      <c r="G3" t="s">
        <v>23</v>
      </c>
      <c r="H3" s="1">
        <v>45966.602083333331</v>
      </c>
      <c r="I3" t="str">
        <f>"0995886"</f>
        <v>0995886</v>
      </c>
      <c r="J3">
        <v>8160</v>
      </c>
      <c r="K3" t="str">
        <f>"0830"</f>
        <v>0830</v>
      </c>
      <c r="L3" t="s">
        <v>29</v>
      </c>
      <c r="M3" t="s">
        <v>25</v>
      </c>
      <c r="N3" t="s">
        <v>26</v>
      </c>
      <c r="Q3" t="s">
        <v>27</v>
      </c>
      <c r="R3" t="s">
        <v>28</v>
      </c>
      <c r="T3">
        <v>49130565</v>
      </c>
      <c r="U3">
        <v>86001021</v>
      </c>
    </row>
    <row r="4" spans="1:22" x14ac:dyDescent="0.2">
      <c r="A4" t="str">
        <f>"032106212"</f>
        <v>032106212</v>
      </c>
      <c r="B4" t="s">
        <v>22</v>
      </c>
      <c r="F4">
        <v>100</v>
      </c>
      <c r="G4" t="s">
        <v>23</v>
      </c>
      <c r="H4" s="1">
        <v>45935.602083333331</v>
      </c>
      <c r="I4" t="str">
        <f>"0995886"</f>
        <v>0995886</v>
      </c>
      <c r="J4">
        <v>8160</v>
      </c>
      <c r="K4" t="str">
        <f>"0830"</f>
        <v>0830</v>
      </c>
      <c r="L4" t="s">
        <v>30</v>
      </c>
      <c r="M4" t="s">
        <v>25</v>
      </c>
      <c r="N4" t="s">
        <v>26</v>
      </c>
      <c r="Q4" t="s">
        <v>27</v>
      </c>
      <c r="R4" t="s">
        <v>28</v>
      </c>
      <c r="T4">
        <v>49130564</v>
      </c>
      <c r="U4">
        <v>86001021</v>
      </c>
    </row>
    <row r="5" spans="1:22" x14ac:dyDescent="0.2">
      <c r="A5" t="str">
        <f>"032106212"</f>
        <v>032106212</v>
      </c>
      <c r="B5" t="s">
        <v>22</v>
      </c>
      <c r="F5">
        <v>100</v>
      </c>
      <c r="G5" t="s">
        <v>23</v>
      </c>
      <c r="H5" s="1">
        <v>45905.602083333331</v>
      </c>
      <c r="I5" t="str">
        <f>"0995886"</f>
        <v>0995886</v>
      </c>
      <c r="J5">
        <v>8160</v>
      </c>
      <c r="K5" t="str">
        <f>"0830"</f>
        <v>0830</v>
      </c>
      <c r="L5" t="s">
        <v>31</v>
      </c>
      <c r="M5" t="s">
        <v>25</v>
      </c>
      <c r="N5" t="s">
        <v>26</v>
      </c>
      <c r="Q5" t="s">
        <v>27</v>
      </c>
      <c r="R5" t="s">
        <v>28</v>
      </c>
      <c r="T5">
        <v>49130563</v>
      </c>
      <c r="U5">
        <v>86001021</v>
      </c>
    </row>
    <row r="6" spans="1:22" x14ac:dyDescent="0.2">
      <c r="A6" t="str">
        <f>"032106212"</f>
        <v>032106212</v>
      </c>
      <c r="B6" t="s">
        <v>22</v>
      </c>
      <c r="F6">
        <v>100</v>
      </c>
      <c r="G6" t="s">
        <v>23</v>
      </c>
      <c r="H6" s="1">
        <v>45874.602083333331</v>
      </c>
      <c r="I6" t="str">
        <f>"0995886"</f>
        <v>0995886</v>
      </c>
      <c r="J6">
        <v>8160</v>
      </c>
      <c r="K6" t="str">
        <f>"0830"</f>
        <v>0830</v>
      </c>
      <c r="L6" t="s">
        <v>32</v>
      </c>
      <c r="M6" t="s">
        <v>25</v>
      </c>
      <c r="N6" t="s">
        <v>26</v>
      </c>
      <c r="Q6" t="s">
        <v>27</v>
      </c>
      <c r="R6" t="s">
        <v>28</v>
      </c>
      <c r="T6">
        <v>49130562</v>
      </c>
      <c r="U6">
        <v>86001021</v>
      </c>
    </row>
    <row r="7" spans="1:22" x14ac:dyDescent="0.2">
      <c r="A7" t="str">
        <f>"032106212"</f>
        <v>032106212</v>
      </c>
      <c r="B7" t="s">
        <v>22</v>
      </c>
      <c r="F7">
        <v>100</v>
      </c>
      <c r="G7" t="s">
        <v>23</v>
      </c>
      <c r="H7" s="1">
        <v>45843.602083333331</v>
      </c>
      <c r="I7" t="str">
        <f>"0995886"</f>
        <v>0995886</v>
      </c>
      <c r="J7">
        <v>8160</v>
      </c>
      <c r="K7" t="str">
        <f>"0830"</f>
        <v>0830</v>
      </c>
      <c r="L7" t="s">
        <v>33</v>
      </c>
      <c r="M7" t="s">
        <v>25</v>
      </c>
      <c r="N7" t="s">
        <v>26</v>
      </c>
      <c r="Q7" t="s">
        <v>27</v>
      </c>
      <c r="R7" t="s">
        <v>28</v>
      </c>
      <c r="T7">
        <v>49130561</v>
      </c>
      <c r="U7">
        <v>86001021</v>
      </c>
    </row>
    <row r="8" spans="1:22" x14ac:dyDescent="0.2">
      <c r="A8" t="str">
        <f>"032106212"</f>
        <v>032106212</v>
      </c>
      <c r="B8" t="s">
        <v>22</v>
      </c>
      <c r="F8">
        <v>100</v>
      </c>
      <c r="G8" t="s">
        <v>23</v>
      </c>
      <c r="H8" s="1">
        <v>45813.602083333331</v>
      </c>
      <c r="I8" t="str">
        <f>"0995886"</f>
        <v>0995886</v>
      </c>
      <c r="J8">
        <v>8160</v>
      </c>
      <c r="K8" t="str">
        <f>"0830"</f>
        <v>0830</v>
      </c>
      <c r="L8" t="s">
        <v>34</v>
      </c>
      <c r="M8" t="s">
        <v>25</v>
      </c>
      <c r="N8" t="s">
        <v>26</v>
      </c>
      <c r="Q8" t="s">
        <v>27</v>
      </c>
      <c r="R8" t="s">
        <v>28</v>
      </c>
      <c r="T8">
        <v>49130560</v>
      </c>
      <c r="U8">
        <v>86001021</v>
      </c>
    </row>
    <row r="9" spans="1:22" x14ac:dyDescent="0.2">
      <c r="A9" t="str">
        <f>"032106212"</f>
        <v>032106212</v>
      </c>
      <c r="B9" t="s">
        <v>22</v>
      </c>
      <c r="F9">
        <v>100</v>
      </c>
      <c r="G9" t="s">
        <v>23</v>
      </c>
      <c r="H9" s="1">
        <v>45782.602083333331</v>
      </c>
      <c r="I9" t="str">
        <f>"0995886"</f>
        <v>0995886</v>
      </c>
      <c r="J9">
        <v>8160</v>
      </c>
      <c r="K9" t="str">
        <f>"0830"</f>
        <v>0830</v>
      </c>
      <c r="L9" t="s">
        <v>35</v>
      </c>
      <c r="M9" t="s">
        <v>25</v>
      </c>
      <c r="N9" t="s">
        <v>26</v>
      </c>
      <c r="Q9" t="s">
        <v>27</v>
      </c>
      <c r="R9" t="s">
        <v>28</v>
      </c>
      <c r="T9">
        <v>49130559</v>
      </c>
      <c r="U9">
        <v>86001021</v>
      </c>
    </row>
    <row r="10" spans="1:22" x14ac:dyDescent="0.2">
      <c r="A10" t="str">
        <f>"032106212"</f>
        <v>032106212</v>
      </c>
      <c r="B10" t="s">
        <v>22</v>
      </c>
      <c r="F10">
        <v>100</v>
      </c>
      <c r="G10" t="s">
        <v>23</v>
      </c>
      <c r="H10" s="1">
        <v>45752.602083333331</v>
      </c>
      <c r="I10" t="str">
        <f>"0995886"</f>
        <v>0995886</v>
      </c>
      <c r="J10">
        <v>8160</v>
      </c>
      <c r="K10" t="str">
        <f>"0830"</f>
        <v>0830</v>
      </c>
      <c r="L10" t="s">
        <v>36</v>
      </c>
      <c r="M10" t="s">
        <v>25</v>
      </c>
      <c r="N10" t="s">
        <v>26</v>
      </c>
      <c r="Q10" t="s">
        <v>27</v>
      </c>
      <c r="R10" t="s">
        <v>28</v>
      </c>
      <c r="T10">
        <v>49130558</v>
      </c>
      <c r="U10">
        <v>86001021</v>
      </c>
    </row>
    <row r="11" spans="1:22" x14ac:dyDescent="0.2">
      <c r="A11">
        <v>212860647</v>
      </c>
      <c r="B11" t="s">
        <v>37</v>
      </c>
      <c r="C11" t="s">
        <v>38</v>
      </c>
      <c r="F11">
        <v>26</v>
      </c>
      <c r="G11" t="s">
        <v>23</v>
      </c>
      <c r="H11" s="1">
        <v>45752.591666666667</v>
      </c>
      <c r="I11" t="str">
        <f>"0500199"</f>
        <v>0500199</v>
      </c>
      <c r="J11">
        <v>5031</v>
      </c>
      <c r="K11" t="str">
        <f>"0830"</f>
        <v>0830</v>
      </c>
      <c r="L11" t="s">
        <v>39</v>
      </c>
      <c r="M11" t="s">
        <v>25</v>
      </c>
      <c r="N11" t="s">
        <v>40</v>
      </c>
      <c r="Q11" t="s">
        <v>41</v>
      </c>
      <c r="R11" t="s">
        <v>28</v>
      </c>
      <c r="T11">
        <v>49129945</v>
      </c>
      <c r="U11">
        <v>86001014</v>
      </c>
    </row>
    <row r="12" spans="1:22" x14ac:dyDescent="0.2">
      <c r="A12">
        <v>345913289</v>
      </c>
      <c r="B12" t="s">
        <v>42</v>
      </c>
      <c r="E12" t="s">
        <v>43</v>
      </c>
      <c r="F12">
        <v>50</v>
      </c>
      <c r="G12" t="s">
        <v>23</v>
      </c>
      <c r="H12" s="1">
        <v>45721.61041666667</v>
      </c>
      <c r="I12">
        <v>375652</v>
      </c>
      <c r="J12">
        <v>8665</v>
      </c>
      <c r="K12">
        <v>1026</v>
      </c>
      <c r="L12">
        <v>1</v>
      </c>
      <c r="M12" t="s">
        <v>25</v>
      </c>
      <c r="Q12" t="s">
        <v>41</v>
      </c>
      <c r="R12" t="s">
        <v>28</v>
      </c>
      <c r="T12">
        <v>49131078</v>
      </c>
      <c r="U12">
        <v>86001023</v>
      </c>
      <c r="V12">
        <v>127196</v>
      </c>
    </row>
    <row r="13" spans="1:22" x14ac:dyDescent="0.2">
      <c r="A13">
        <v>215603895</v>
      </c>
      <c r="B13" t="s">
        <v>44</v>
      </c>
      <c r="C13" t="s">
        <v>45</v>
      </c>
      <c r="D13" t="s">
        <v>46</v>
      </c>
      <c r="E13" t="s">
        <v>47</v>
      </c>
      <c r="F13">
        <v>80</v>
      </c>
      <c r="G13" t="s">
        <v>23</v>
      </c>
      <c r="H13" s="1">
        <v>45721.606944444444</v>
      </c>
      <c r="I13" t="str">
        <f>"0191338"</f>
        <v>0191338</v>
      </c>
      <c r="J13">
        <v>2778</v>
      </c>
      <c r="K13">
        <v>1029</v>
      </c>
      <c r="L13">
        <v>1</v>
      </c>
      <c r="M13" t="s">
        <v>25</v>
      </c>
      <c r="N13" t="s">
        <v>48</v>
      </c>
      <c r="Q13" t="s">
        <v>41</v>
      </c>
      <c r="R13" t="s">
        <v>28</v>
      </c>
      <c r="T13">
        <v>49130826</v>
      </c>
      <c r="U13">
        <v>86001022</v>
      </c>
      <c r="V13">
        <v>127195</v>
      </c>
    </row>
    <row r="14" spans="1:22" x14ac:dyDescent="0.2">
      <c r="A14" t="str">
        <f>"032106212"</f>
        <v>032106212</v>
      </c>
      <c r="B14" t="s">
        <v>22</v>
      </c>
      <c r="F14">
        <v>100</v>
      </c>
      <c r="G14" t="s">
        <v>23</v>
      </c>
      <c r="H14" s="1">
        <v>45721.602083333331</v>
      </c>
      <c r="I14" t="str">
        <f>"0995886"</f>
        <v>0995886</v>
      </c>
      <c r="J14">
        <v>8160</v>
      </c>
      <c r="K14" t="str">
        <f>"0830"</f>
        <v>0830</v>
      </c>
      <c r="L14" t="s">
        <v>49</v>
      </c>
      <c r="M14" t="s">
        <v>25</v>
      </c>
      <c r="N14" t="s">
        <v>26</v>
      </c>
      <c r="Q14" t="s">
        <v>27</v>
      </c>
      <c r="R14" t="s">
        <v>28</v>
      </c>
      <c r="T14">
        <v>49130557</v>
      </c>
      <c r="U14">
        <v>86001021</v>
      </c>
      <c r="V14">
        <v>127194</v>
      </c>
    </row>
    <row r="15" spans="1:22" x14ac:dyDescent="0.2">
      <c r="A15">
        <v>327506440</v>
      </c>
      <c r="B15" t="s">
        <v>50</v>
      </c>
      <c r="C15" t="s">
        <v>51</v>
      </c>
      <c r="D15" t="s">
        <v>52</v>
      </c>
      <c r="E15" t="s">
        <v>53</v>
      </c>
      <c r="F15">
        <v>50</v>
      </c>
      <c r="G15" t="s">
        <v>23</v>
      </c>
      <c r="H15" s="1">
        <v>45721.602083333331</v>
      </c>
      <c r="I15" t="str">
        <f>"0994921"</f>
        <v>0994921</v>
      </c>
      <c r="J15">
        <v>9740</v>
      </c>
      <c r="K15" t="str">
        <f>"0827"</f>
        <v>0827</v>
      </c>
      <c r="L15">
        <v>1</v>
      </c>
      <c r="M15" t="s">
        <v>25</v>
      </c>
      <c r="N15" t="s">
        <v>54</v>
      </c>
      <c r="Q15" t="s">
        <v>41</v>
      </c>
      <c r="R15" t="s">
        <v>28</v>
      </c>
      <c r="T15">
        <v>49130556</v>
      </c>
      <c r="U15">
        <v>86001020</v>
      </c>
      <c r="V15">
        <v>127193</v>
      </c>
    </row>
    <row r="16" spans="1:22" x14ac:dyDescent="0.2">
      <c r="A16" t="str">
        <f>"055048441"</f>
        <v>055048441</v>
      </c>
      <c r="B16" t="s">
        <v>55</v>
      </c>
      <c r="F16">
        <v>100</v>
      </c>
      <c r="G16" t="s">
        <v>23</v>
      </c>
      <c r="H16" s="1">
        <v>45721.601388888892</v>
      </c>
      <c r="I16">
        <v>80742</v>
      </c>
      <c r="J16">
        <v>6129</v>
      </c>
      <c r="K16" t="str">
        <f>"0830"</f>
        <v>0830</v>
      </c>
      <c r="L16">
        <v>1</v>
      </c>
      <c r="M16" t="s">
        <v>25</v>
      </c>
      <c r="N16" t="s">
        <v>26</v>
      </c>
      <c r="Q16" t="s">
        <v>41</v>
      </c>
      <c r="R16" t="s">
        <v>28</v>
      </c>
      <c r="T16">
        <v>49130519</v>
      </c>
      <c r="U16">
        <v>86001019</v>
      </c>
      <c r="V16">
        <v>127192</v>
      </c>
    </row>
    <row r="17" spans="1:22" x14ac:dyDescent="0.2">
      <c r="A17">
        <v>215731845</v>
      </c>
      <c r="B17" t="s">
        <v>56</v>
      </c>
      <c r="C17" t="s">
        <v>57</v>
      </c>
      <c r="D17" t="s">
        <v>58</v>
      </c>
      <c r="E17" t="s">
        <v>59</v>
      </c>
      <c r="F17">
        <v>500</v>
      </c>
      <c r="G17" t="s">
        <v>23</v>
      </c>
      <c r="H17" s="1">
        <v>45721.599999999999</v>
      </c>
      <c r="I17" t="str">
        <f>"0891028"</f>
        <v>0891028</v>
      </c>
      <c r="J17" t="str">
        <f>"0238"</f>
        <v>0238</v>
      </c>
      <c r="K17">
        <v>1230</v>
      </c>
      <c r="L17">
        <v>1</v>
      </c>
      <c r="M17" t="s">
        <v>25</v>
      </c>
      <c r="N17" t="s">
        <v>56</v>
      </c>
      <c r="Q17" t="s">
        <v>41</v>
      </c>
      <c r="R17" t="s">
        <v>28</v>
      </c>
      <c r="T17">
        <v>49130464</v>
      </c>
      <c r="U17">
        <v>86001018</v>
      </c>
      <c r="V17">
        <v>127191</v>
      </c>
    </row>
    <row r="18" spans="1:22" x14ac:dyDescent="0.2">
      <c r="A18">
        <v>325951176</v>
      </c>
      <c r="B18" t="s">
        <v>60</v>
      </c>
      <c r="C18" t="s">
        <v>61</v>
      </c>
      <c r="F18">
        <v>36</v>
      </c>
      <c r="G18" t="s">
        <v>23</v>
      </c>
      <c r="H18" s="1">
        <v>45721.594444444447</v>
      </c>
      <c r="I18">
        <v>9917191</v>
      </c>
      <c r="J18">
        <v>8702</v>
      </c>
      <c r="K18" t="str">
        <f>"0231"</f>
        <v>0231</v>
      </c>
      <c r="L18">
        <v>1</v>
      </c>
      <c r="M18" t="s">
        <v>25</v>
      </c>
      <c r="N18" t="s">
        <v>62</v>
      </c>
      <c r="Q18" t="s">
        <v>27</v>
      </c>
      <c r="R18" t="s">
        <v>28</v>
      </c>
      <c r="T18">
        <v>49130123</v>
      </c>
      <c r="U18">
        <v>86001017</v>
      </c>
      <c r="V18">
        <v>127190</v>
      </c>
    </row>
    <row r="19" spans="1:22" x14ac:dyDescent="0.2">
      <c r="A19">
        <v>328115449</v>
      </c>
      <c r="B19" t="s">
        <v>63</v>
      </c>
      <c r="F19">
        <v>100</v>
      </c>
      <c r="G19" t="s">
        <v>23</v>
      </c>
      <c r="H19" s="1">
        <v>45721.593055555553</v>
      </c>
      <c r="I19">
        <v>9904731</v>
      </c>
      <c r="J19">
        <v>2657</v>
      </c>
      <c r="K19" t="str">
        <f>"0627"</f>
        <v>0627</v>
      </c>
      <c r="L19">
        <v>1</v>
      </c>
      <c r="M19" t="s">
        <v>25</v>
      </c>
      <c r="N19" t="s">
        <v>62</v>
      </c>
      <c r="Q19" t="s">
        <v>27</v>
      </c>
      <c r="R19" t="s">
        <v>28</v>
      </c>
      <c r="T19">
        <v>49130022</v>
      </c>
      <c r="U19">
        <v>86001016</v>
      </c>
      <c r="V19">
        <v>127189</v>
      </c>
    </row>
    <row r="20" spans="1:22" x14ac:dyDescent="0.2">
      <c r="A20" t="str">
        <f>"024320681"</f>
        <v>024320681</v>
      </c>
      <c r="B20" t="s">
        <v>64</v>
      </c>
      <c r="E20" t="s">
        <v>65</v>
      </c>
      <c r="F20">
        <v>100</v>
      </c>
      <c r="G20" t="s">
        <v>23</v>
      </c>
      <c r="H20" s="1">
        <v>45721.592361111114</v>
      </c>
      <c r="I20">
        <v>9894851</v>
      </c>
      <c r="J20">
        <v>2196</v>
      </c>
      <c r="K20" t="str">
        <f>"0330"</f>
        <v>0330</v>
      </c>
      <c r="L20">
        <v>1</v>
      </c>
      <c r="M20" t="s">
        <v>25</v>
      </c>
      <c r="N20" t="s">
        <v>62</v>
      </c>
      <c r="Q20" t="s">
        <v>27</v>
      </c>
      <c r="R20" t="s">
        <v>28</v>
      </c>
      <c r="T20">
        <v>49129977</v>
      </c>
      <c r="U20">
        <v>86001015</v>
      </c>
      <c r="V20">
        <v>127188</v>
      </c>
    </row>
    <row r="21" spans="1:22" x14ac:dyDescent="0.2">
      <c r="A21">
        <v>212860647</v>
      </c>
      <c r="B21" t="s">
        <v>37</v>
      </c>
      <c r="C21" t="s">
        <v>38</v>
      </c>
      <c r="F21">
        <v>26</v>
      </c>
      <c r="G21" t="s">
        <v>23</v>
      </c>
      <c r="H21" s="1">
        <v>45721.591666666667</v>
      </c>
      <c r="I21" t="str">
        <f>"0500199"</f>
        <v>0500199</v>
      </c>
      <c r="J21">
        <v>5031</v>
      </c>
      <c r="K21" t="str">
        <f>"0830"</f>
        <v>0830</v>
      </c>
      <c r="L21" t="s">
        <v>66</v>
      </c>
      <c r="M21" t="s">
        <v>25</v>
      </c>
      <c r="N21" t="s">
        <v>40</v>
      </c>
      <c r="Q21" t="s">
        <v>41</v>
      </c>
      <c r="R21" t="s">
        <v>28</v>
      </c>
      <c r="T21">
        <v>49129944</v>
      </c>
      <c r="U21">
        <v>86001014</v>
      </c>
      <c r="V21">
        <v>127187</v>
      </c>
    </row>
    <row r="22" spans="1:22" x14ac:dyDescent="0.2">
      <c r="A22">
        <v>317767580</v>
      </c>
      <c r="B22" t="s">
        <v>67</v>
      </c>
      <c r="C22" t="s">
        <v>68</v>
      </c>
      <c r="D22" t="s">
        <v>69</v>
      </c>
      <c r="E22" t="s">
        <v>70</v>
      </c>
      <c r="F22">
        <v>1800</v>
      </c>
      <c r="G22" t="s">
        <v>23</v>
      </c>
      <c r="H22" s="1">
        <v>45721.590277777781</v>
      </c>
      <c r="I22" t="s">
        <v>71</v>
      </c>
      <c r="J22">
        <v>2216</v>
      </c>
      <c r="K22">
        <v>1228</v>
      </c>
      <c r="L22">
        <v>1</v>
      </c>
      <c r="M22" t="s">
        <v>25</v>
      </c>
      <c r="Q22" t="s">
        <v>41</v>
      </c>
      <c r="R22" t="s">
        <v>28</v>
      </c>
      <c r="T22">
        <v>49129856</v>
      </c>
      <c r="U22">
        <v>86001013</v>
      </c>
      <c r="V22">
        <v>127186</v>
      </c>
    </row>
    <row r="23" spans="1:22" x14ac:dyDescent="0.2">
      <c r="A23" t="str">
        <f>"039989413"</f>
        <v>039989413</v>
      </c>
      <c r="B23" t="s">
        <v>72</v>
      </c>
      <c r="F23">
        <v>200</v>
      </c>
      <c r="G23" t="s">
        <v>23</v>
      </c>
      <c r="H23" s="1">
        <v>45721.589583333334</v>
      </c>
      <c r="I23">
        <v>9869624</v>
      </c>
      <c r="J23">
        <v>8619</v>
      </c>
      <c r="K23" t="str">
        <f>"0530"</f>
        <v>0530</v>
      </c>
      <c r="L23">
        <v>1</v>
      </c>
      <c r="M23" t="s">
        <v>25</v>
      </c>
      <c r="N23" t="s">
        <v>62</v>
      </c>
      <c r="Q23" t="s">
        <v>27</v>
      </c>
      <c r="R23" t="s">
        <v>28</v>
      </c>
      <c r="T23">
        <v>49129823</v>
      </c>
      <c r="U23">
        <v>86001012</v>
      </c>
      <c r="V23">
        <v>127185</v>
      </c>
    </row>
    <row r="24" spans="1:22" x14ac:dyDescent="0.2">
      <c r="B24" t="s">
        <v>73</v>
      </c>
      <c r="F24">
        <v>100</v>
      </c>
      <c r="G24" t="s">
        <v>23</v>
      </c>
      <c r="H24" s="1">
        <v>45721.582638888889</v>
      </c>
      <c r="I24" t="str">
        <f>"0087957"</f>
        <v>0087957</v>
      </c>
      <c r="J24">
        <v>6364</v>
      </c>
      <c r="K24">
        <v>1129</v>
      </c>
      <c r="L24">
        <v>1</v>
      </c>
      <c r="M24" t="s">
        <v>25</v>
      </c>
      <c r="N24" t="s">
        <v>74</v>
      </c>
      <c r="Q24" t="s">
        <v>41</v>
      </c>
      <c r="R24" t="s">
        <v>28</v>
      </c>
      <c r="T24">
        <v>49129500</v>
      </c>
      <c r="U24">
        <v>86001011</v>
      </c>
      <c r="V24">
        <v>127184</v>
      </c>
    </row>
    <row r="25" spans="1:22" x14ac:dyDescent="0.2">
      <c r="A25">
        <v>215863788</v>
      </c>
      <c r="B25" t="s">
        <v>75</v>
      </c>
      <c r="C25" t="s">
        <v>76</v>
      </c>
      <c r="D25" t="s">
        <v>77</v>
      </c>
      <c r="E25" t="s">
        <v>78</v>
      </c>
      <c r="F25">
        <v>500</v>
      </c>
      <c r="G25" t="s">
        <v>23</v>
      </c>
      <c r="H25" s="1">
        <v>45721.581944444442</v>
      </c>
      <c r="I25">
        <v>21119</v>
      </c>
      <c r="J25">
        <v>9846</v>
      </c>
      <c r="K25" t="str">
        <f>"0728"</f>
        <v>0728</v>
      </c>
      <c r="L25">
        <v>1</v>
      </c>
      <c r="M25" t="s">
        <v>25</v>
      </c>
      <c r="Q25" t="s">
        <v>41</v>
      </c>
      <c r="R25" t="s">
        <v>28</v>
      </c>
      <c r="T25">
        <v>49129468</v>
      </c>
      <c r="U25">
        <v>86001010</v>
      </c>
      <c r="V25">
        <v>127183</v>
      </c>
    </row>
    <row r="26" spans="1:22" x14ac:dyDescent="0.2">
      <c r="A26">
        <v>326672136</v>
      </c>
      <c r="B26" t="s">
        <v>79</v>
      </c>
      <c r="C26" t="s">
        <v>80</v>
      </c>
      <c r="D26" t="s">
        <v>81</v>
      </c>
      <c r="E26" t="s">
        <v>82</v>
      </c>
      <c r="F26">
        <v>185</v>
      </c>
      <c r="G26" t="s">
        <v>23</v>
      </c>
      <c r="H26" s="1">
        <v>45721.57708333333</v>
      </c>
      <c r="I26" t="str">
        <f>"0850834"</f>
        <v>0850834</v>
      </c>
      <c r="J26">
        <v>8241</v>
      </c>
      <c r="K26" t="str">
        <f>"0229"</f>
        <v>0229</v>
      </c>
      <c r="L26">
        <v>1</v>
      </c>
      <c r="M26" t="s">
        <v>25</v>
      </c>
      <c r="N26" t="s">
        <v>83</v>
      </c>
      <c r="Q26" t="s">
        <v>41</v>
      </c>
      <c r="R26" t="s">
        <v>28</v>
      </c>
      <c r="T26">
        <v>49129250</v>
      </c>
      <c r="U26">
        <v>86001009</v>
      </c>
      <c r="V26">
        <v>127182</v>
      </c>
    </row>
    <row r="27" spans="1:22" x14ac:dyDescent="0.2">
      <c r="A27">
        <v>339803496</v>
      </c>
      <c r="B27" t="s">
        <v>84</v>
      </c>
      <c r="C27" t="s">
        <v>85</v>
      </c>
      <c r="D27" t="s">
        <v>86</v>
      </c>
      <c r="F27">
        <v>300</v>
      </c>
      <c r="G27" t="s">
        <v>23</v>
      </c>
      <c r="H27" s="1">
        <v>45721.576388888891</v>
      </c>
      <c r="I27">
        <v>9735917</v>
      </c>
      <c r="J27" t="str">
        <f>"0266"</f>
        <v>0266</v>
      </c>
      <c r="K27" t="str">
        <f>"0826"</f>
        <v>0826</v>
      </c>
      <c r="L27">
        <v>1</v>
      </c>
      <c r="M27" t="s">
        <v>25</v>
      </c>
      <c r="Q27" t="s">
        <v>27</v>
      </c>
      <c r="R27" t="s">
        <v>28</v>
      </c>
      <c r="T27">
        <v>49129210</v>
      </c>
      <c r="U27">
        <v>86001008</v>
      </c>
      <c r="V27">
        <v>127181</v>
      </c>
    </row>
    <row r="28" spans="1:22" x14ac:dyDescent="0.2">
      <c r="A28" t="str">
        <f>"069147965"</f>
        <v>069147965</v>
      </c>
      <c r="B28" t="s">
        <v>87</v>
      </c>
      <c r="C28" t="s">
        <v>88</v>
      </c>
      <c r="D28" t="s">
        <v>89</v>
      </c>
      <c r="E28" t="s">
        <v>90</v>
      </c>
      <c r="F28">
        <v>150</v>
      </c>
      <c r="G28" t="s">
        <v>23</v>
      </c>
      <c r="H28" s="1">
        <v>45721.522916666669</v>
      </c>
      <c r="I28" t="str">
        <f>"0000000"</f>
        <v>0000000</v>
      </c>
      <c r="J28">
        <v>8176</v>
      </c>
      <c r="L28">
        <v>1</v>
      </c>
      <c r="M28" t="s">
        <v>25</v>
      </c>
      <c r="N28" t="s">
        <v>91</v>
      </c>
      <c r="Q28" t="s">
        <v>92</v>
      </c>
      <c r="R28">
        <v>30</v>
      </c>
      <c r="T28">
        <v>49126530</v>
      </c>
      <c r="V28">
        <v>127180</v>
      </c>
    </row>
    <row r="29" spans="1:22" x14ac:dyDescent="0.2">
      <c r="A29" t="str">
        <f>"009489667"</f>
        <v>009489667</v>
      </c>
      <c r="B29" t="s">
        <v>93</v>
      </c>
      <c r="C29" t="s">
        <v>94</v>
      </c>
      <c r="D29" t="s">
        <v>95</v>
      </c>
      <c r="E29" t="s">
        <v>96</v>
      </c>
      <c r="F29">
        <v>100</v>
      </c>
      <c r="G29" t="s">
        <v>23</v>
      </c>
      <c r="H29" s="1">
        <v>45721.48541666667</v>
      </c>
      <c r="I29">
        <v>5403</v>
      </c>
      <c r="J29" t="str">
        <f>"0427"</f>
        <v>0427</v>
      </c>
      <c r="K29" t="str">
        <f>"0329"</f>
        <v>0329</v>
      </c>
      <c r="L29">
        <v>1</v>
      </c>
      <c r="M29" t="s">
        <v>25</v>
      </c>
      <c r="Q29" t="s">
        <v>41</v>
      </c>
      <c r="R29" t="s">
        <v>28</v>
      </c>
      <c r="T29">
        <v>49124113</v>
      </c>
      <c r="U29">
        <v>86001006</v>
      </c>
      <c r="V29">
        <v>127179</v>
      </c>
    </row>
    <row r="30" spans="1:22" x14ac:dyDescent="0.2">
      <c r="A30" t="str">
        <f>"022949804"</f>
        <v>022949804</v>
      </c>
      <c r="B30" t="s">
        <v>97</v>
      </c>
      <c r="C30" t="s">
        <v>98</v>
      </c>
      <c r="D30" t="s">
        <v>99</v>
      </c>
      <c r="E30" t="s">
        <v>100</v>
      </c>
      <c r="F30">
        <v>100</v>
      </c>
      <c r="G30" t="s">
        <v>23</v>
      </c>
      <c r="H30" s="1">
        <v>45721.430555555555</v>
      </c>
      <c r="I30" t="str">
        <f>"0051458"</f>
        <v>0051458</v>
      </c>
      <c r="J30">
        <v>9067</v>
      </c>
      <c r="K30" t="str">
        <f>"0726"</f>
        <v>0726</v>
      </c>
      <c r="L30">
        <v>1</v>
      </c>
      <c r="M30" t="s">
        <v>25</v>
      </c>
      <c r="N30" t="s">
        <v>101</v>
      </c>
      <c r="Q30" t="s">
        <v>41</v>
      </c>
      <c r="R30" t="s">
        <v>28</v>
      </c>
      <c r="T30">
        <v>49121202</v>
      </c>
      <c r="U30">
        <v>86001002</v>
      </c>
      <c r="V30">
        <v>127176</v>
      </c>
    </row>
    <row r="31" spans="1:22" x14ac:dyDescent="0.2">
      <c r="A31" t="str">
        <f>"081030680"</f>
        <v>081030680</v>
      </c>
      <c r="B31" t="s">
        <v>102</v>
      </c>
      <c r="C31" t="s">
        <v>103</v>
      </c>
      <c r="D31">
        <v>50766128390</v>
      </c>
      <c r="E31" t="s">
        <v>104</v>
      </c>
      <c r="F31">
        <v>36</v>
      </c>
      <c r="G31" t="s">
        <v>105</v>
      </c>
      <c r="H31" s="1">
        <v>45721.022916666669</v>
      </c>
      <c r="I31">
        <v>566803</v>
      </c>
      <c r="J31">
        <v>5264</v>
      </c>
      <c r="K31" t="str">
        <f>"0829"</f>
        <v>0829</v>
      </c>
      <c r="L31">
        <v>1</v>
      </c>
      <c r="M31" t="s">
        <v>25</v>
      </c>
      <c r="N31" t="s">
        <v>106</v>
      </c>
      <c r="Q31" t="s">
        <v>41</v>
      </c>
      <c r="R31" t="s">
        <v>28</v>
      </c>
      <c r="T31">
        <v>49093208</v>
      </c>
      <c r="U31">
        <v>85001013</v>
      </c>
      <c r="V31">
        <v>127175</v>
      </c>
    </row>
  </sheetData>
  <autoFilter ref="A1:V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ExportHistory_05.03.25_04.03.26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2025-03-05T12:40:48Z</dcterms:created>
  <dcterms:modified xsi:type="dcterms:W3CDTF">2025-03-05T12:40:48Z</dcterms:modified>
</cp:coreProperties>
</file>