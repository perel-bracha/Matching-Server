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rel\Downloads\"/>
    </mc:Choice>
  </mc:AlternateContent>
  <bookViews>
    <workbookView xWindow="0" yWindow="0" windowWidth="24000" windowHeight="10350"/>
  </bookViews>
  <sheets>
    <sheet name="ExportHistory_01.02.25_09.02.25" sheetId="1" r:id="rId1"/>
  </sheets>
  <definedNames>
    <definedName name="_xlnm._FilterDatabase" localSheetId="0" hidden="1">ExportHistory_01.02.25_09.02.25!$A$1:$V$28</definedName>
  </definedNames>
  <calcPr calcId="152511"/>
</workbook>
</file>

<file path=xl/calcChain.xml><?xml version="1.0" encoding="utf-8"?>
<calcChain xmlns="http://schemas.openxmlformats.org/spreadsheetml/2006/main">
  <c r="I2" i="1" l="1"/>
  <c r="K2" i="1"/>
  <c r="A3" i="1"/>
  <c r="I3" i="1"/>
  <c r="J4" i="1"/>
  <c r="K4" i="1"/>
  <c r="I5" i="1"/>
  <c r="K6" i="1"/>
  <c r="K7" i="1"/>
  <c r="A8" i="1"/>
  <c r="I8" i="1"/>
  <c r="A9" i="1"/>
  <c r="I9" i="1"/>
  <c r="K9" i="1"/>
  <c r="A10" i="1"/>
  <c r="I10" i="1"/>
  <c r="K10" i="1"/>
  <c r="K11" i="1"/>
  <c r="K12" i="1"/>
  <c r="A13" i="1"/>
  <c r="I13" i="1"/>
  <c r="J14" i="1"/>
  <c r="K14" i="1"/>
  <c r="I16" i="1"/>
  <c r="K16" i="1"/>
  <c r="A17" i="1"/>
  <c r="K17" i="1"/>
  <c r="K18" i="1"/>
  <c r="I19" i="1"/>
  <c r="K19" i="1"/>
  <c r="A20" i="1"/>
  <c r="K20" i="1"/>
  <c r="A21" i="1"/>
  <c r="I21" i="1"/>
  <c r="K21" i="1"/>
  <c r="K22" i="1"/>
  <c r="K23" i="1"/>
  <c r="K24" i="1"/>
  <c r="A25" i="1"/>
  <c r="I25" i="1"/>
  <c r="K25" i="1"/>
  <c r="K26" i="1"/>
  <c r="A28" i="1"/>
  <c r="K28" i="1"/>
</calcChain>
</file>

<file path=xl/sharedStrings.xml><?xml version="1.0" encoding="utf-8"?>
<sst xmlns="http://schemas.openxmlformats.org/spreadsheetml/2006/main" count="290" uniqueCount="144">
  <si>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</si>
  <si>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</si>
  <si>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</si>
  <si>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</si>
  <si>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</si>
  <si>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</si>
  <si>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</si>
  <si>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</si>
  <si>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</si>
  <si>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</si>
  <si>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</si>
  <si>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</si>
  <si>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</si>
  <si>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</si>
  <si>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</si>
  <si>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</si>
  <si>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</si>
  <si>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</si>
  <si>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</si>
  <si>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</si>
  <si>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</si>
  <si>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</si>
  <si>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שרי פינזל</t>
  </si>
  <si>
    <t>שמעון הצדיק 29 ירושלים</t>
  </si>
  <si>
    <t>058-3207371</t>
  </si>
  <si>
    <t>sari0583207371@gmail.com</t>
  </si>
  <si>
    <t>שקל</t>
  </si>
  <si>
    <t>תרומה לסמינר</t>
  </si>
  <si>
    <t>ויזה</t>
  </si>
  <si>
    <t>ישראכרט</t>
  </si>
  <si>
    <t>פיין איריס</t>
  </si>
  <si>
    <t>רשב"י 13/18 מודיעין עילית</t>
  </si>
  <si>
    <t>052-7624242</t>
  </si>
  <si>
    <t>irisfine1@gmail.com</t>
  </si>
  <si>
    <t>הו"ק</t>
  </si>
  <si>
    <t>נועה עטאר</t>
  </si>
  <si>
    <t xml:space="preserve">הגלעד 31 יבנה </t>
  </si>
  <si>
    <t>052-7602979</t>
  </si>
  <si>
    <t>noaattar1@gmail.com</t>
  </si>
  <si>
    <t>Causematch</t>
  </si>
  <si>
    <t>מסטרכרד</t>
  </si>
  <si>
    <t>אליהו ואור כהן</t>
  </si>
  <si>
    <t>הרצוג 11  בני ברק</t>
  </si>
  <si>
    <t>050-4152290</t>
  </si>
  <si>
    <t>orjamil8@gmail.com</t>
  </si>
  <si>
    <t>ברכה מאיר</t>
  </si>
  <si>
    <t xml:space="preserve">שלום רב 3 דירה 1 קומה -3, 3 </t>
  </si>
  <si>
    <t>053-7157080</t>
  </si>
  <si>
    <t>ahameir@gmail.com</t>
  </si>
  <si>
    <t>איטה שוורץ</t>
  </si>
  <si>
    <t xml:space="preserve">רשב"י 4 </t>
  </si>
  <si>
    <t>052-7600907</t>
  </si>
  <si>
    <t>ita0527600907@gmail.com</t>
  </si>
  <si>
    <t>ציפי שלסר</t>
  </si>
  <si>
    <t xml:space="preserve">האדמור מרוז'ין 37 בני ברק </t>
  </si>
  <si>
    <t>052-7673734</t>
  </si>
  <si>
    <t>sh5588911@gmail.com</t>
  </si>
  <si>
    <t>יפת אבינועם</t>
  </si>
  <si>
    <t>אחיה שילוני 6/6 בני ברק</t>
  </si>
  <si>
    <t>052-7640622</t>
  </si>
  <si>
    <t>yaeliyefet@gmail.com</t>
  </si>
  <si>
    <t>^דבורה וולק</t>
  </si>
  <si>
    <t>ירמיהו הנביא 42 רמת בית שמש ג' בית שמש</t>
  </si>
  <si>
    <t>052-7614168</t>
  </si>
  <si>
    <t>devorahwolk@gmail.com</t>
  </si>
  <si>
    <t>שחר ממן</t>
  </si>
  <si>
    <t xml:space="preserve">ירמיהו 27 שדרות </t>
  </si>
  <si>
    <t>054-8539591</t>
  </si>
  <si>
    <t>shachar.maman789@gmail.com</t>
  </si>
  <si>
    <t>הודיה ראקוב</t>
  </si>
  <si>
    <t xml:space="preserve">אהבת ישראל 17 כוכב יעקב </t>
  </si>
  <si>
    <t>052-7679309</t>
  </si>
  <si>
    <t>hodaya240@gmail.com</t>
  </si>
  <si>
    <t>שפירא יעקב</t>
  </si>
  <si>
    <t xml:space="preserve"> </t>
  </si>
  <si>
    <t>053-3110160</t>
  </si>
  <si>
    <t>kls0533110@gmail.com</t>
  </si>
  <si>
    <t>קמפיין 'לב אל האופק'</t>
  </si>
  <si>
    <t>חיה  רוזן - שוורץ</t>
  </si>
  <si>
    <t xml:space="preserve">בר אילן 26 כניסה א' ירושלים משפחת שוורץ </t>
  </si>
  <si>
    <t>058-3279533</t>
  </si>
  <si>
    <t>ccr0583279533@gmail.com</t>
  </si>
  <si>
    <t>אסתי דהן</t>
  </si>
  <si>
    <t xml:space="preserve">שלמה בן יוסף 18 </t>
  </si>
  <si>
    <t>050-4113724</t>
  </si>
  <si>
    <t>es4113724@gmail.com</t>
  </si>
  <si>
    <t>לי-אור כנפו</t>
  </si>
  <si>
    <t xml:space="preserve">אלוף שימחוני 4 </t>
  </si>
  <si>
    <t>052-7121160</t>
  </si>
  <si>
    <t>liorcnafo4@gmail.com</t>
  </si>
  <si>
    <t xml:space="preserve">וידבסקי עמית </t>
  </si>
  <si>
    <t>התאנה 6/1  אלעד</t>
  </si>
  <si>
    <t>058-4156260</t>
  </si>
  <si>
    <t>shevi7000@gmail.com</t>
  </si>
  <si>
    <t>תרז גבאי</t>
  </si>
  <si>
    <t xml:space="preserve">מרגלית 10 אשקלון </t>
  </si>
  <si>
    <t>052-4112278</t>
  </si>
  <si>
    <t>לאה נויבירט</t>
  </si>
  <si>
    <t>052-7132184</t>
  </si>
  <si>
    <t>l0527132184@gmail.com</t>
  </si>
  <si>
    <t>חנה רבקה לוי</t>
  </si>
  <si>
    <t xml:space="preserve">הרב אברהם רביץ 30 דירה 1, קומה 1 </t>
  </si>
  <si>
    <t>052-7639001</t>
  </si>
  <si>
    <t>crklugman@gmail.com</t>
  </si>
  <si>
    <t>אפרת וולטמן</t>
  </si>
  <si>
    <t xml:space="preserve">הרב אברמסקי 28  בני ברק </t>
  </si>
  <si>
    <t>052-7650123</t>
  </si>
  <si>
    <t>daycare@mhmc.co.il</t>
  </si>
  <si>
    <t>רחל ילין</t>
  </si>
  <si>
    <t>058-3200112</t>
  </si>
  <si>
    <t>r.yelin112@gmail.com</t>
  </si>
  <si>
    <t>בת שבע סטולוביץ</t>
  </si>
  <si>
    <t>דרך מר"ן 15  טבריה</t>
  </si>
  <si>
    <t>052-7163382</t>
  </si>
  <si>
    <t>bat7sto@gmail.com</t>
  </si>
  <si>
    <t>חני לייבל</t>
  </si>
  <si>
    <t>אשר גולאק 425  ירושלים</t>
  </si>
  <si>
    <t>052-7114679</t>
  </si>
  <si>
    <t>chani262@gmail.com</t>
  </si>
  <si>
    <t>*אלישבע אפשטיין</t>
  </si>
  <si>
    <t xml:space="preserve">רביץ, 4 </t>
  </si>
  <si>
    <t>054-7681477</t>
  </si>
  <si>
    <t>eli7green@gmail.com</t>
  </si>
  <si>
    <t>פיגא ברודי</t>
  </si>
  <si>
    <t xml:space="preserve">הרב בלוך 9 דירה 10 </t>
  </si>
  <si>
    <t>054-6685716</t>
  </si>
  <si>
    <t>fayblatt@gmail.com</t>
  </si>
  <si>
    <t>אמריקן אקספרס</t>
  </si>
  <si>
    <t>חיה במברגר</t>
  </si>
  <si>
    <t xml:space="preserve">הרב עובדיה יוסף, 16 </t>
  </si>
  <si>
    <t>050-4158873</t>
  </si>
  <si>
    <t>chayagutman@gmail.com</t>
  </si>
  <si>
    <t>רוחמי רודניק</t>
  </si>
  <si>
    <t xml:space="preserve">קורדובירו 3 ירושלים </t>
  </si>
  <si>
    <t>052-7643897</t>
  </si>
  <si>
    <t>ruchami.rudnick@gmail.com</t>
  </si>
  <si>
    <t>בתיה גד</t>
  </si>
  <si>
    <t>יוהנה פיקר</t>
  </si>
  <si>
    <t>אילה בלוק</t>
  </si>
  <si>
    <t>הודיה שלום</t>
  </si>
  <si>
    <t>נויה לוגסי</t>
  </si>
  <si>
    <t>אלישבע צימרמן</t>
  </si>
  <si>
    <t>רעות רבין</t>
  </si>
  <si>
    <t>לבנה כהן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</si>
</sst>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rightToLeft="1" tabSelected="1" topLeftCell="F1" workbookViewId="0">
      <selection activeCell="N2" sqref="N2:N28"/>
    </sheetView>
  </sheetViews>
  <sheetFormatPr defaultRowHeight="14.25" x14ac:dyDescent="0.2"/>
  <cols>
    <col min="1" max="1" width="11.125" bestFit="1" customWidth="1"/>
    <col min="2" max="2" width="27.625" bestFit="1" customWidth="1"/>
    <col min="3" max="3" width="33" bestFit="1" customWidth="1"/>
    <col min="4" max="4" width="11.875" bestFit="1" customWidth="1"/>
    <col min="5" max="5" width="28.125" bestFit="1" customWidth="1"/>
    <col min="6" max="6" width="6.3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19.875" bestFit="1" customWidth="1"/>
    <col min="14" max="14" width="84.125" bestFit="1" customWidth="1"/>
    <col min="15" max="15" width="28.125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212874903</v>
      </c>
      <c r="B2" t="s">
        <v>22</v>
      </c>
      <c r="C2" t="s">
        <v>23</v>
      </c>
      <c r="D2" t="s">
        <v>24</v>
      </c>
      <c r="E2" t="s">
        <v>25</v>
      </c>
      <c r="F2">
        <v>100</v>
      </c>
      <c r="G2" t="s">
        <v>26</v>
      </c>
      <c r="H2" s="1">
        <v>45697.537499999999</v>
      </c>
      <c r="I2" t="str">
        <f>"0832287"</f>
        <v>0832287</v>
      </c>
      <c r="J2">
        <v>9357</v>
      </c>
      <c r="K2" t="str">
        <f>"0529"</f>
        <v>0529</v>
      </c>
      <c r="L2">
        <v>1</v>
      </c>
      <c r="M2" t="s">
        <v>27</v>
      </c>
      <c r="N2" t="s">
        <v>136</v>
      </c>
      <c r="Q2" t="s">
        <v>28</v>
      </c>
      <c r="R2" t="s">
        <v>29</v>
      </c>
      <c r="T2">
        <v>48022581</v>
      </c>
      <c r="U2">
        <v>64001002</v>
      </c>
      <c r="V2">
        <v>127144</v>
      </c>
    </row>
    <row r="3" spans="1:22" x14ac:dyDescent="0.2">
      <c r="A3" t="str">
        <f>"065967929"</f>
        <v>065967929</v>
      </c>
      <c r="B3" t="s">
        <v>30</v>
      </c>
      <c r="C3" t="s">
        <v>31</v>
      </c>
      <c r="D3" t="s">
        <v>32</v>
      </c>
      <c r="E3" t="s">
        <v>33</v>
      </c>
      <c r="F3">
        <v>50</v>
      </c>
      <c r="G3" t="s">
        <v>26</v>
      </c>
      <c r="H3" s="1">
        <v>45697.027777777781</v>
      </c>
      <c r="I3" t="str">
        <f>"0226142"</f>
        <v>0226142</v>
      </c>
      <c r="J3">
        <v>3930</v>
      </c>
      <c r="K3">
        <v>1229</v>
      </c>
      <c r="L3" t="s">
        <v>34</v>
      </c>
      <c r="M3" t="s">
        <v>27</v>
      </c>
      <c r="N3" t="s">
        <v>137</v>
      </c>
      <c r="Q3" t="s">
        <v>28</v>
      </c>
      <c r="R3" t="s">
        <v>29</v>
      </c>
      <c r="S3">
        <v>689409</v>
      </c>
      <c r="T3">
        <v>48010157</v>
      </c>
      <c r="U3">
        <v>63001150</v>
      </c>
    </row>
    <row r="4" spans="1:22" x14ac:dyDescent="0.2">
      <c r="A4">
        <v>203461694</v>
      </c>
      <c r="B4" t="s">
        <v>35</v>
      </c>
      <c r="C4" t="s">
        <v>36</v>
      </c>
      <c r="D4" t="s">
        <v>37</v>
      </c>
      <c r="E4" t="s">
        <v>38</v>
      </c>
      <c r="F4">
        <v>100</v>
      </c>
      <c r="G4" t="s">
        <v>26</v>
      </c>
      <c r="H4" s="1">
        <v>45697.027777777781</v>
      </c>
      <c r="I4">
        <v>8717584</v>
      </c>
      <c r="J4" t="str">
        <f>"0971"</f>
        <v>0971</v>
      </c>
      <c r="K4" t="str">
        <f>"0730"</f>
        <v>0730</v>
      </c>
      <c r="L4" t="s">
        <v>34</v>
      </c>
      <c r="M4" t="s">
        <v>39</v>
      </c>
      <c r="N4" t="s">
        <v>138</v>
      </c>
      <c r="Q4" t="s">
        <v>40</v>
      </c>
      <c r="R4" t="s">
        <v>29</v>
      </c>
      <c r="S4">
        <v>718059</v>
      </c>
      <c r="T4">
        <v>48010148</v>
      </c>
      <c r="U4">
        <v>63001149</v>
      </c>
    </row>
    <row r="5" spans="1:22" x14ac:dyDescent="0.2">
      <c r="A5">
        <v>204365886</v>
      </c>
      <c r="B5" t="s">
        <v>41</v>
      </c>
      <c r="C5" t="s">
        <v>42</v>
      </c>
      <c r="D5" t="s">
        <v>43</v>
      </c>
      <c r="E5" t="s">
        <v>44</v>
      </c>
      <c r="F5">
        <v>50</v>
      </c>
      <c r="G5" t="s">
        <v>26</v>
      </c>
      <c r="H5" s="1">
        <v>45697.027777777781</v>
      </c>
      <c r="I5" t="str">
        <f>"0225748"</f>
        <v>0225748</v>
      </c>
      <c r="J5">
        <v>2555</v>
      </c>
      <c r="K5">
        <v>1125</v>
      </c>
      <c r="L5" t="s">
        <v>34</v>
      </c>
      <c r="M5" t="s">
        <v>39</v>
      </c>
      <c r="N5" t="s">
        <v>139</v>
      </c>
      <c r="Q5" t="s">
        <v>28</v>
      </c>
      <c r="R5" t="s">
        <v>29</v>
      </c>
      <c r="S5">
        <v>718126</v>
      </c>
      <c r="T5">
        <v>48010145</v>
      </c>
      <c r="U5">
        <v>63001148</v>
      </c>
    </row>
    <row r="6" spans="1:22" x14ac:dyDescent="0.2">
      <c r="A6">
        <v>301064382</v>
      </c>
      <c r="B6" t="s">
        <v>45</v>
      </c>
      <c r="C6" t="s">
        <v>46</v>
      </c>
      <c r="D6" t="s">
        <v>47</v>
      </c>
      <c r="E6" t="s">
        <v>48</v>
      </c>
      <c r="F6">
        <v>100</v>
      </c>
      <c r="G6" t="s">
        <v>26</v>
      </c>
      <c r="H6" s="1">
        <v>45697.027777777781</v>
      </c>
      <c r="I6">
        <v>2486</v>
      </c>
      <c r="J6">
        <v>8322</v>
      </c>
      <c r="K6" t="str">
        <f>"0128"</f>
        <v>0128</v>
      </c>
      <c r="L6" t="s">
        <v>34</v>
      </c>
      <c r="M6" t="s">
        <v>39</v>
      </c>
      <c r="N6" t="s">
        <v>140</v>
      </c>
      <c r="Q6" t="s">
        <v>28</v>
      </c>
      <c r="R6" t="s">
        <v>29</v>
      </c>
      <c r="S6">
        <v>718419</v>
      </c>
      <c r="T6">
        <v>48010142</v>
      </c>
      <c r="U6">
        <v>63001147</v>
      </c>
    </row>
    <row r="7" spans="1:22" x14ac:dyDescent="0.2">
      <c r="A7">
        <v>204432181</v>
      </c>
      <c r="B7" t="s">
        <v>49</v>
      </c>
      <c r="C7" t="s">
        <v>50</v>
      </c>
      <c r="D7" t="s">
        <v>51</v>
      </c>
      <c r="E7" t="s">
        <v>52</v>
      </c>
      <c r="F7">
        <v>36</v>
      </c>
      <c r="G7" t="s">
        <v>26</v>
      </c>
      <c r="H7" s="1">
        <v>45697.027777777781</v>
      </c>
      <c r="I7">
        <v>2480</v>
      </c>
      <c r="J7">
        <v>7624</v>
      </c>
      <c r="K7" t="str">
        <f>"0126"</f>
        <v>0126</v>
      </c>
      <c r="L7" t="s">
        <v>34</v>
      </c>
      <c r="M7" t="s">
        <v>39</v>
      </c>
      <c r="N7" t="s">
        <v>141</v>
      </c>
      <c r="Q7" t="s">
        <v>28</v>
      </c>
      <c r="R7" t="s">
        <v>29</v>
      </c>
      <c r="S7">
        <v>718615</v>
      </c>
      <c r="T7">
        <v>48010140</v>
      </c>
      <c r="U7">
        <v>63001146</v>
      </c>
    </row>
    <row r="8" spans="1:22" x14ac:dyDescent="0.2">
      <c r="A8" t="str">
        <f>"031791403"</f>
        <v>031791403</v>
      </c>
      <c r="B8" t="s">
        <v>53</v>
      </c>
      <c r="C8" t="s">
        <v>54</v>
      </c>
      <c r="D8" t="s">
        <v>55</v>
      </c>
      <c r="E8" t="s">
        <v>56</v>
      </c>
      <c r="F8">
        <v>100</v>
      </c>
      <c r="G8" t="s">
        <v>26</v>
      </c>
      <c r="H8" s="1">
        <v>45697.027777777781</v>
      </c>
      <c r="I8" t="str">
        <f>"0225490"</f>
        <v>0225490</v>
      </c>
      <c r="J8">
        <v>9809</v>
      </c>
      <c r="K8">
        <v>1129</v>
      </c>
      <c r="L8" t="s">
        <v>34</v>
      </c>
      <c r="M8" t="s">
        <v>39</v>
      </c>
      <c r="N8" t="s">
        <v>142</v>
      </c>
      <c r="Q8" t="s">
        <v>28</v>
      </c>
      <c r="R8" t="s">
        <v>29</v>
      </c>
      <c r="S8">
        <v>718670</v>
      </c>
      <c r="T8">
        <v>48010138</v>
      </c>
      <c r="U8">
        <v>63001145</v>
      </c>
    </row>
    <row r="9" spans="1:22" x14ac:dyDescent="0.2">
      <c r="A9" t="str">
        <f>"038769428"</f>
        <v>038769428</v>
      </c>
      <c r="B9" t="s">
        <v>57</v>
      </c>
      <c r="C9" t="s">
        <v>58</v>
      </c>
      <c r="D9" t="s">
        <v>59</v>
      </c>
      <c r="E9" t="s">
        <v>60</v>
      </c>
      <c r="F9">
        <v>30</v>
      </c>
      <c r="G9" t="s">
        <v>26</v>
      </c>
      <c r="H9" s="1">
        <v>45697.027777777781</v>
      </c>
      <c r="I9" t="str">
        <f>"0225466"</f>
        <v>0225466</v>
      </c>
      <c r="J9">
        <v>6053</v>
      </c>
      <c r="K9" t="str">
        <f>"0528"</f>
        <v>0528</v>
      </c>
      <c r="L9" t="s">
        <v>34</v>
      </c>
      <c r="M9" t="s">
        <v>27</v>
      </c>
      <c r="N9" t="s">
        <v>143</v>
      </c>
      <c r="Q9" t="s">
        <v>28</v>
      </c>
      <c r="R9" t="s">
        <v>29</v>
      </c>
      <c r="S9">
        <v>689415</v>
      </c>
      <c r="T9">
        <v>48010137</v>
      </c>
      <c r="U9">
        <v>63001144</v>
      </c>
    </row>
    <row r="10" spans="1:22" x14ac:dyDescent="0.2">
      <c r="A10" t="str">
        <f>"059789602"</f>
        <v>059789602</v>
      </c>
      <c r="B10" t="s">
        <v>61</v>
      </c>
      <c r="C10" t="s">
        <v>62</v>
      </c>
      <c r="D10" t="s">
        <v>63</v>
      </c>
      <c r="E10" t="s">
        <v>64</v>
      </c>
      <c r="F10">
        <v>50</v>
      </c>
      <c r="G10" t="s">
        <v>26</v>
      </c>
      <c r="H10" s="1">
        <v>45697.027777777781</v>
      </c>
      <c r="I10" t="str">
        <f>"0225383"</f>
        <v>0225383</v>
      </c>
      <c r="J10">
        <v>8920</v>
      </c>
      <c r="K10" t="str">
        <f>"0728"</f>
        <v>0728</v>
      </c>
      <c r="L10" t="s">
        <v>34</v>
      </c>
      <c r="M10" t="s">
        <v>39</v>
      </c>
      <c r="N10" t="s">
        <v>136</v>
      </c>
      <c r="Q10" t="s">
        <v>28</v>
      </c>
      <c r="R10" t="s">
        <v>29</v>
      </c>
      <c r="S10">
        <v>718760</v>
      </c>
      <c r="T10">
        <v>48010134</v>
      </c>
      <c r="U10">
        <v>63001143</v>
      </c>
    </row>
    <row r="11" spans="1:22" x14ac:dyDescent="0.2">
      <c r="A11">
        <v>207935081</v>
      </c>
      <c r="B11" t="s">
        <v>65</v>
      </c>
      <c r="C11" t="s">
        <v>66</v>
      </c>
      <c r="D11" t="s">
        <v>67</v>
      </c>
      <c r="E11" t="s">
        <v>68</v>
      </c>
      <c r="F11">
        <v>100</v>
      </c>
      <c r="G11" t="s">
        <v>26</v>
      </c>
      <c r="H11" s="1">
        <v>45697.027777777781</v>
      </c>
      <c r="I11">
        <v>8717471</v>
      </c>
      <c r="J11">
        <v>1539</v>
      </c>
      <c r="K11" t="str">
        <f>"0829"</f>
        <v>0829</v>
      </c>
      <c r="L11" t="s">
        <v>34</v>
      </c>
      <c r="M11" t="s">
        <v>39</v>
      </c>
      <c r="N11" t="s">
        <v>137</v>
      </c>
      <c r="Q11" t="s">
        <v>40</v>
      </c>
      <c r="R11" t="s">
        <v>29</v>
      </c>
      <c r="S11">
        <v>718898</v>
      </c>
      <c r="T11">
        <v>48010129</v>
      </c>
      <c r="U11">
        <v>63001142</v>
      </c>
    </row>
    <row r="12" spans="1:22" x14ac:dyDescent="0.2">
      <c r="A12">
        <v>303062301</v>
      </c>
      <c r="B12" t="s">
        <v>69</v>
      </c>
      <c r="C12" t="s">
        <v>70</v>
      </c>
      <c r="D12" t="s">
        <v>71</v>
      </c>
      <c r="E12" t="s">
        <v>72</v>
      </c>
      <c r="F12">
        <v>15</v>
      </c>
      <c r="G12" t="s">
        <v>26</v>
      </c>
      <c r="H12" s="1">
        <v>45697.027777777781</v>
      </c>
      <c r="I12">
        <v>2456</v>
      </c>
      <c r="J12">
        <v>7246</v>
      </c>
      <c r="K12" t="str">
        <f>"0126"</f>
        <v>0126</v>
      </c>
      <c r="L12" t="s">
        <v>34</v>
      </c>
      <c r="M12" t="s">
        <v>39</v>
      </c>
      <c r="N12" t="s">
        <v>138</v>
      </c>
      <c r="Q12" t="s">
        <v>28</v>
      </c>
      <c r="R12" t="s">
        <v>29</v>
      </c>
      <c r="S12">
        <v>718916</v>
      </c>
      <c r="T12">
        <v>48010127</v>
      </c>
      <c r="U12">
        <v>63001141</v>
      </c>
    </row>
    <row r="13" spans="1:22" x14ac:dyDescent="0.2">
      <c r="A13" t="str">
        <f>"037345519"</f>
        <v>037345519</v>
      </c>
      <c r="B13" t="s">
        <v>73</v>
      </c>
      <c r="C13" t="s">
        <v>74</v>
      </c>
      <c r="D13" t="s">
        <v>75</v>
      </c>
      <c r="E13" t="s">
        <v>76</v>
      </c>
      <c r="F13">
        <v>50</v>
      </c>
      <c r="G13" t="s">
        <v>26</v>
      </c>
      <c r="H13" s="1">
        <v>45697.027777777781</v>
      </c>
      <c r="I13" t="str">
        <f>"0225177"</f>
        <v>0225177</v>
      </c>
      <c r="J13">
        <v>4533</v>
      </c>
      <c r="K13">
        <v>1229</v>
      </c>
      <c r="L13" t="s">
        <v>34</v>
      </c>
      <c r="M13" t="s">
        <v>77</v>
      </c>
      <c r="N13" t="s">
        <v>139</v>
      </c>
      <c r="Q13" t="s">
        <v>28</v>
      </c>
      <c r="R13" t="s">
        <v>29</v>
      </c>
      <c r="S13">
        <v>718048</v>
      </c>
      <c r="T13">
        <v>48010125</v>
      </c>
      <c r="U13">
        <v>63001140</v>
      </c>
    </row>
    <row r="14" spans="1:22" x14ac:dyDescent="0.2">
      <c r="A14">
        <v>318927928</v>
      </c>
      <c r="B14" t="s">
        <v>78</v>
      </c>
      <c r="C14" t="s">
        <v>79</v>
      </c>
      <c r="D14" t="s">
        <v>80</v>
      </c>
      <c r="E14" t="s">
        <v>81</v>
      </c>
      <c r="F14">
        <v>40</v>
      </c>
      <c r="G14" t="s">
        <v>26</v>
      </c>
      <c r="H14" s="1">
        <v>45697.027777777781</v>
      </c>
      <c r="I14">
        <v>8717451</v>
      </c>
      <c r="J14" t="str">
        <f>"0598"</f>
        <v>0598</v>
      </c>
      <c r="K14" t="str">
        <f>"0830"</f>
        <v>0830</v>
      </c>
      <c r="L14" t="s">
        <v>34</v>
      </c>
      <c r="M14" t="s">
        <v>39</v>
      </c>
      <c r="N14" t="s">
        <v>140</v>
      </c>
      <c r="Q14" t="s">
        <v>28</v>
      </c>
      <c r="R14" t="s">
        <v>29</v>
      </c>
      <c r="S14">
        <v>718994</v>
      </c>
      <c r="T14">
        <v>48010124</v>
      </c>
      <c r="U14">
        <v>63001139</v>
      </c>
    </row>
    <row r="15" spans="1:22" x14ac:dyDescent="0.2">
      <c r="A15">
        <v>321122541</v>
      </c>
      <c r="B15" t="s">
        <v>82</v>
      </c>
      <c r="C15" t="s">
        <v>83</v>
      </c>
      <c r="D15" t="s">
        <v>84</v>
      </c>
      <c r="E15" t="s">
        <v>85</v>
      </c>
      <c r="F15">
        <v>17</v>
      </c>
      <c r="G15" t="s">
        <v>26</v>
      </c>
      <c r="H15" s="1">
        <v>45697.027777777781</v>
      </c>
      <c r="I15">
        <v>8717444</v>
      </c>
      <c r="J15">
        <v>8654</v>
      </c>
      <c r="K15">
        <v>1130</v>
      </c>
      <c r="L15" t="s">
        <v>34</v>
      </c>
      <c r="M15" t="s">
        <v>39</v>
      </c>
      <c r="N15" t="s">
        <v>141</v>
      </c>
      <c r="Q15" t="s">
        <v>40</v>
      </c>
      <c r="R15" t="s">
        <v>29</v>
      </c>
      <c r="S15">
        <v>718995</v>
      </c>
      <c r="T15">
        <v>48010123</v>
      </c>
      <c r="U15">
        <v>63001138</v>
      </c>
    </row>
    <row r="16" spans="1:22" x14ac:dyDescent="0.2">
      <c r="A16">
        <v>303144034</v>
      </c>
      <c r="B16" t="s">
        <v>86</v>
      </c>
      <c r="C16" t="s">
        <v>87</v>
      </c>
      <c r="D16" t="s">
        <v>88</v>
      </c>
      <c r="E16" t="s">
        <v>89</v>
      </c>
      <c r="F16">
        <v>50</v>
      </c>
      <c r="G16" t="s">
        <v>26</v>
      </c>
      <c r="H16" s="1">
        <v>45697.027777777781</v>
      </c>
      <c r="I16" t="str">
        <f>"0225086"</f>
        <v>0225086</v>
      </c>
      <c r="J16">
        <v>2989</v>
      </c>
      <c r="K16" t="str">
        <f>"0728"</f>
        <v>0728</v>
      </c>
      <c r="L16" t="s">
        <v>34</v>
      </c>
      <c r="M16" t="s">
        <v>39</v>
      </c>
      <c r="N16" t="s">
        <v>142</v>
      </c>
      <c r="Q16" t="s">
        <v>28</v>
      </c>
      <c r="R16" t="s">
        <v>29</v>
      </c>
      <c r="S16">
        <v>718184</v>
      </c>
      <c r="T16">
        <v>48010122</v>
      </c>
      <c r="U16">
        <v>63001137</v>
      </c>
    </row>
    <row r="17" spans="1:21" x14ac:dyDescent="0.2">
      <c r="A17" t="str">
        <f>"031682560"</f>
        <v>031682560</v>
      </c>
      <c r="B17" t="s">
        <v>90</v>
      </c>
      <c r="C17" t="s">
        <v>91</v>
      </c>
      <c r="D17" t="s">
        <v>92</v>
      </c>
      <c r="E17" t="s">
        <v>93</v>
      </c>
      <c r="F17">
        <v>40</v>
      </c>
      <c r="G17" t="s">
        <v>26</v>
      </c>
      <c r="H17" s="1">
        <v>45697.027777777781</v>
      </c>
      <c r="I17">
        <v>8717435</v>
      </c>
      <c r="J17">
        <v>7607</v>
      </c>
      <c r="K17" t="str">
        <f>"0926"</f>
        <v>0926</v>
      </c>
      <c r="L17" t="s">
        <v>34</v>
      </c>
      <c r="M17" t="s">
        <v>27</v>
      </c>
      <c r="N17" t="s">
        <v>143</v>
      </c>
      <c r="Q17" t="s">
        <v>40</v>
      </c>
      <c r="R17" t="s">
        <v>29</v>
      </c>
      <c r="S17">
        <v>689419</v>
      </c>
      <c r="T17">
        <v>48010120</v>
      </c>
      <c r="U17">
        <v>63001136</v>
      </c>
    </row>
    <row r="18" spans="1:21" x14ac:dyDescent="0.2">
      <c r="B18" t="s">
        <v>94</v>
      </c>
      <c r="C18" t="s">
        <v>95</v>
      </c>
      <c r="D18" t="s">
        <v>96</v>
      </c>
      <c r="F18">
        <v>180</v>
      </c>
      <c r="G18" t="s">
        <v>26</v>
      </c>
      <c r="H18" s="1">
        <v>45697.027777777781</v>
      </c>
      <c r="I18">
        <v>38422</v>
      </c>
      <c r="J18">
        <v>5524</v>
      </c>
      <c r="K18" t="str">
        <f>"0830"</f>
        <v>0830</v>
      </c>
      <c r="L18" t="s">
        <v>34</v>
      </c>
      <c r="M18" t="s">
        <v>39</v>
      </c>
      <c r="N18" t="s">
        <v>136</v>
      </c>
      <c r="Q18" t="s">
        <v>40</v>
      </c>
      <c r="R18" t="s">
        <v>29</v>
      </c>
      <c r="S18">
        <v>719107</v>
      </c>
      <c r="T18">
        <v>48010119</v>
      </c>
      <c r="U18">
        <v>63001135</v>
      </c>
    </row>
    <row r="19" spans="1:21" x14ac:dyDescent="0.2">
      <c r="A19">
        <v>200415248</v>
      </c>
      <c r="B19" t="s">
        <v>97</v>
      </c>
      <c r="C19" t="s">
        <v>74</v>
      </c>
      <c r="D19" t="s">
        <v>98</v>
      </c>
      <c r="E19" t="s">
        <v>99</v>
      </c>
      <c r="F19">
        <v>50</v>
      </c>
      <c r="G19" t="s">
        <v>26</v>
      </c>
      <c r="H19" s="1">
        <v>45697.027777777781</v>
      </c>
      <c r="I19" t="str">
        <f>"0224931"</f>
        <v>0224931</v>
      </c>
      <c r="J19">
        <v>8754</v>
      </c>
      <c r="K19" t="str">
        <f>"0529"</f>
        <v>0529</v>
      </c>
      <c r="L19" t="s">
        <v>34</v>
      </c>
      <c r="M19" t="s">
        <v>39</v>
      </c>
      <c r="N19" t="s">
        <v>137</v>
      </c>
      <c r="Q19" t="s">
        <v>28</v>
      </c>
      <c r="R19" t="s">
        <v>29</v>
      </c>
      <c r="S19">
        <v>719138</v>
      </c>
      <c r="T19">
        <v>48010116</v>
      </c>
      <c r="U19">
        <v>63001134</v>
      </c>
    </row>
    <row r="20" spans="1:21" x14ac:dyDescent="0.2">
      <c r="A20" t="str">
        <f>"036793677"</f>
        <v>036793677</v>
      </c>
      <c r="B20" t="s">
        <v>100</v>
      </c>
      <c r="C20" t="s">
        <v>101</v>
      </c>
      <c r="D20" t="s">
        <v>102</v>
      </c>
      <c r="E20" t="s">
        <v>103</v>
      </c>
      <c r="F20">
        <v>50</v>
      </c>
      <c r="G20" t="s">
        <v>26</v>
      </c>
      <c r="H20" s="1">
        <v>45697.027777777781</v>
      </c>
      <c r="I20">
        <v>8717417</v>
      </c>
      <c r="J20">
        <v>2931</v>
      </c>
      <c r="K20" t="str">
        <f>"0226"</f>
        <v>0226</v>
      </c>
      <c r="L20" t="s">
        <v>34</v>
      </c>
      <c r="M20" t="s">
        <v>39</v>
      </c>
      <c r="N20" t="s">
        <v>138</v>
      </c>
      <c r="Q20" t="s">
        <v>40</v>
      </c>
      <c r="R20" t="s">
        <v>29</v>
      </c>
      <c r="S20">
        <v>718433</v>
      </c>
      <c r="T20">
        <v>48010115</v>
      </c>
      <c r="U20">
        <v>63001133</v>
      </c>
    </row>
    <row r="21" spans="1:21" x14ac:dyDescent="0.2">
      <c r="A21" t="str">
        <f>"056777972"</f>
        <v>056777972</v>
      </c>
      <c r="B21" t="s">
        <v>104</v>
      </c>
      <c r="C21" t="s">
        <v>105</v>
      </c>
      <c r="D21" t="s">
        <v>106</v>
      </c>
      <c r="E21" t="s">
        <v>107</v>
      </c>
      <c r="F21">
        <v>60</v>
      </c>
      <c r="G21" t="s">
        <v>26</v>
      </c>
      <c r="H21" s="1">
        <v>45697.027777777781</v>
      </c>
      <c r="I21" t="str">
        <f>"0224824"</f>
        <v>0224824</v>
      </c>
      <c r="J21">
        <v>8963</v>
      </c>
      <c r="K21" t="str">
        <f>"0630"</f>
        <v>0630</v>
      </c>
      <c r="L21" t="s">
        <v>34</v>
      </c>
      <c r="M21" t="s">
        <v>39</v>
      </c>
      <c r="N21" t="s">
        <v>139</v>
      </c>
      <c r="Q21" t="s">
        <v>28</v>
      </c>
      <c r="R21" t="s">
        <v>29</v>
      </c>
      <c r="S21">
        <v>718745</v>
      </c>
      <c r="T21">
        <v>48010113</v>
      </c>
      <c r="U21">
        <v>63001132</v>
      </c>
    </row>
    <row r="22" spans="1:21" x14ac:dyDescent="0.2">
      <c r="B22" t="s">
        <v>108</v>
      </c>
      <c r="C22" t="s">
        <v>74</v>
      </c>
      <c r="D22" t="s">
        <v>109</v>
      </c>
      <c r="E22" t="s">
        <v>110</v>
      </c>
      <c r="F22">
        <v>50</v>
      </c>
      <c r="G22" t="s">
        <v>26</v>
      </c>
      <c r="H22" s="1">
        <v>45697.027777777781</v>
      </c>
      <c r="I22">
        <v>8717386</v>
      </c>
      <c r="J22">
        <v>6309</v>
      </c>
      <c r="K22" t="str">
        <f>"0225"</f>
        <v>0225</v>
      </c>
      <c r="L22" t="s">
        <v>34</v>
      </c>
      <c r="M22" t="s">
        <v>39</v>
      </c>
      <c r="N22" t="s">
        <v>140</v>
      </c>
      <c r="Q22" t="s">
        <v>40</v>
      </c>
      <c r="R22" t="s">
        <v>29</v>
      </c>
      <c r="S22">
        <v>719281</v>
      </c>
      <c r="T22">
        <v>48010112</v>
      </c>
      <c r="U22">
        <v>63001131</v>
      </c>
    </row>
    <row r="23" spans="1:21" x14ac:dyDescent="0.2">
      <c r="A23">
        <v>204265813</v>
      </c>
      <c r="B23" t="s">
        <v>111</v>
      </c>
      <c r="C23" t="s">
        <v>112</v>
      </c>
      <c r="D23" t="s">
        <v>113</v>
      </c>
      <c r="E23" t="s">
        <v>114</v>
      </c>
      <c r="F23">
        <v>20</v>
      </c>
      <c r="G23" t="s">
        <v>26</v>
      </c>
      <c r="H23" s="1">
        <v>45697.027777777781</v>
      </c>
      <c r="I23">
        <v>2434</v>
      </c>
      <c r="J23">
        <v>5520</v>
      </c>
      <c r="K23" t="str">
        <f>"0930"</f>
        <v>0930</v>
      </c>
      <c r="L23" t="s">
        <v>34</v>
      </c>
      <c r="M23" t="s">
        <v>39</v>
      </c>
      <c r="N23" t="s">
        <v>141</v>
      </c>
      <c r="Q23" t="s">
        <v>28</v>
      </c>
      <c r="R23" t="s">
        <v>29</v>
      </c>
      <c r="S23">
        <v>718042</v>
      </c>
      <c r="T23">
        <v>48010110</v>
      </c>
      <c r="U23">
        <v>63001130</v>
      </c>
    </row>
    <row r="24" spans="1:21" x14ac:dyDescent="0.2">
      <c r="A24">
        <v>316156421</v>
      </c>
      <c r="B24" t="s">
        <v>115</v>
      </c>
      <c r="C24" t="s">
        <v>116</v>
      </c>
      <c r="D24" t="s">
        <v>117</v>
      </c>
      <c r="E24" t="s">
        <v>118</v>
      </c>
      <c r="F24">
        <v>20</v>
      </c>
      <c r="G24" t="s">
        <v>26</v>
      </c>
      <c r="H24" s="1">
        <v>45697.027777777781</v>
      </c>
      <c r="I24">
        <v>2431</v>
      </c>
      <c r="J24">
        <v>5327</v>
      </c>
      <c r="K24" t="str">
        <f>"0930"</f>
        <v>0930</v>
      </c>
      <c r="L24" t="s">
        <v>34</v>
      </c>
      <c r="M24" t="s">
        <v>39</v>
      </c>
      <c r="N24" t="s">
        <v>142</v>
      </c>
      <c r="Q24" t="s">
        <v>28</v>
      </c>
      <c r="R24" t="s">
        <v>29</v>
      </c>
      <c r="S24">
        <v>719145</v>
      </c>
      <c r="T24">
        <v>48010109</v>
      </c>
      <c r="U24">
        <v>63001129</v>
      </c>
    </row>
    <row r="25" spans="1:21" x14ac:dyDescent="0.2">
      <c r="A25" t="str">
        <f>"036976140"</f>
        <v>036976140</v>
      </c>
      <c r="B25" t="s">
        <v>119</v>
      </c>
      <c r="C25" t="s">
        <v>120</v>
      </c>
      <c r="D25" t="s">
        <v>121</v>
      </c>
      <c r="E25" t="s">
        <v>122</v>
      </c>
      <c r="F25">
        <v>50</v>
      </c>
      <c r="G25" t="s">
        <v>26</v>
      </c>
      <c r="H25" s="1">
        <v>45697.027777777781</v>
      </c>
      <c r="I25" t="str">
        <f>"0224733"</f>
        <v>0224733</v>
      </c>
      <c r="J25">
        <v>9471</v>
      </c>
      <c r="K25" t="str">
        <f>"0530"</f>
        <v>0530</v>
      </c>
      <c r="L25" t="s">
        <v>34</v>
      </c>
      <c r="M25" t="s">
        <v>39</v>
      </c>
      <c r="N25" t="s">
        <v>143</v>
      </c>
      <c r="Q25" t="s">
        <v>28</v>
      </c>
      <c r="R25" t="s">
        <v>29</v>
      </c>
      <c r="S25">
        <v>718147</v>
      </c>
      <c r="T25">
        <v>48010106</v>
      </c>
      <c r="U25">
        <v>63001128</v>
      </c>
    </row>
    <row r="26" spans="1:21" x14ac:dyDescent="0.2">
      <c r="A26">
        <v>201607413</v>
      </c>
      <c r="B26" t="s">
        <v>123</v>
      </c>
      <c r="C26" t="s">
        <v>124</v>
      </c>
      <c r="D26" t="s">
        <v>125</v>
      </c>
      <c r="E26" t="s">
        <v>126</v>
      </c>
      <c r="F26">
        <v>20</v>
      </c>
      <c r="G26" t="s">
        <v>26</v>
      </c>
      <c r="H26" s="1">
        <v>45697.027777777781</v>
      </c>
      <c r="I26">
        <v>8717320</v>
      </c>
      <c r="J26">
        <v>6682</v>
      </c>
      <c r="K26" t="str">
        <f>"0530"</f>
        <v>0530</v>
      </c>
      <c r="L26" t="s">
        <v>34</v>
      </c>
      <c r="M26" t="s">
        <v>39</v>
      </c>
      <c r="N26" t="s">
        <v>136</v>
      </c>
      <c r="Q26" t="s">
        <v>127</v>
      </c>
      <c r="R26" t="s">
        <v>29</v>
      </c>
      <c r="S26">
        <v>718057</v>
      </c>
      <c r="T26">
        <v>48010105</v>
      </c>
      <c r="U26">
        <v>63001127</v>
      </c>
    </row>
    <row r="27" spans="1:21" x14ac:dyDescent="0.2">
      <c r="A27">
        <v>206301186</v>
      </c>
      <c r="B27" t="s">
        <v>128</v>
      </c>
      <c r="C27" t="s">
        <v>129</v>
      </c>
      <c r="D27" t="s">
        <v>130</v>
      </c>
      <c r="E27" t="s">
        <v>131</v>
      </c>
      <c r="F27">
        <v>100</v>
      </c>
      <c r="G27" t="s">
        <v>26</v>
      </c>
      <c r="H27" s="1">
        <v>45697.027777777781</v>
      </c>
      <c r="I27">
        <v>8717298</v>
      </c>
      <c r="J27">
        <v>3377</v>
      </c>
      <c r="K27">
        <v>1030</v>
      </c>
      <c r="L27" t="s">
        <v>34</v>
      </c>
      <c r="M27" t="s">
        <v>39</v>
      </c>
      <c r="N27" t="s">
        <v>137</v>
      </c>
      <c r="Q27" t="s">
        <v>40</v>
      </c>
      <c r="R27" t="s">
        <v>29</v>
      </c>
      <c r="S27">
        <v>719288</v>
      </c>
      <c r="T27">
        <v>48010104</v>
      </c>
      <c r="U27">
        <v>63001126</v>
      </c>
    </row>
    <row r="28" spans="1:21" x14ac:dyDescent="0.2">
      <c r="A28" t="str">
        <f>"040696981"</f>
        <v>040696981</v>
      </c>
      <c r="B28" t="s">
        <v>132</v>
      </c>
      <c r="C28" t="s">
        <v>133</v>
      </c>
      <c r="D28" t="s">
        <v>134</v>
      </c>
      <c r="E28" t="s">
        <v>135</v>
      </c>
      <c r="F28">
        <v>36</v>
      </c>
      <c r="G28" t="s">
        <v>26</v>
      </c>
      <c r="H28" s="1">
        <v>45697.027777777781</v>
      </c>
      <c r="I28">
        <v>8717305</v>
      </c>
      <c r="J28">
        <v>9217</v>
      </c>
      <c r="K28" t="str">
        <f>"0525"</f>
        <v>0525</v>
      </c>
      <c r="L28" t="s">
        <v>34</v>
      </c>
      <c r="M28" t="s">
        <v>39</v>
      </c>
      <c r="N28" t="s">
        <v>138</v>
      </c>
      <c r="Q28" t="s">
        <v>28</v>
      </c>
      <c r="R28" t="s">
        <v>29</v>
      </c>
      <c r="S28">
        <v>718487</v>
      </c>
      <c r="T28">
        <v>48010102</v>
      </c>
      <c r="U28">
        <v>63001124</v>
      </c>
    </row>
  </sheetData>
  <autoFilter ref="A1:V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ExportHistory_01.02.25_09.02.25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admin</cp:lastModifiedBy>
  <dcterms:created xsi:type="dcterms:W3CDTF">2025-02-09T12:04:16Z</dcterms:created>
  <dcterms:modified xsi:type="dcterms:W3CDTF">2025-02-27T12:32:29Z</dcterms:modified>
</cp:coreProperties>
</file>